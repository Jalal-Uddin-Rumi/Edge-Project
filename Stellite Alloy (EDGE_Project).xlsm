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/>
  <mc:AlternateContent xmlns:mc="http://schemas.openxmlformats.org/markup-compatibility/2006">
    <mc:Choice Requires="x15">
      <x15ac:absPath xmlns:x15ac="http://schemas.microsoft.com/office/spreadsheetml/2010/11/ac" url="D:\edge cse\14_Jalal Uddin Rumi_office67_Project\"/>
    </mc:Choice>
  </mc:AlternateContent>
  <xr:revisionPtr revIDLastSave="0" documentId="13_ncr:1_{77FF7D41-3F01-43B2-8F49-31C1BF5473F0}" xr6:coauthVersionLast="47" xr6:coauthVersionMax="47" xr10:uidLastSave="{00000000-0000-0000-0000-000000000000}"/>
  <bookViews>
    <workbookView xWindow="-110" yWindow="-110" windowWidth="19420" windowHeight="10300" firstSheet="3" activeTab="8" xr2:uid="{00000000-000D-0000-FFFF-FFFF00000000}"/>
  </bookViews>
  <sheets>
    <sheet name="Measurements" sheetId="1" r:id="rId1"/>
    <sheet name="Questions" sheetId="2" r:id="rId2"/>
    <sheet name="Q1 DropDown" sheetId="11" r:id="rId3"/>
    <sheet name="Q2 Dimensions" sheetId="7" r:id="rId4"/>
    <sheet name="Q3 Pie chart" sheetId="12" r:id="rId5"/>
    <sheet name="Q4 SQ" sheetId="10" r:id="rId6"/>
    <sheet name="Q5 Mass" sheetId="3" r:id="rId7"/>
    <sheet name="Q6 Volume" sheetId="4" r:id="rId8"/>
    <sheet name="Q7 Density" sheetId="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2" l="1"/>
  <c r="L12" i="10"/>
  <c r="L14" i="10"/>
  <c r="L13" i="10"/>
  <c r="L11" i="10"/>
  <c r="L10" i="10"/>
  <c r="C11" i="11" l="1"/>
  <c r="C10" i="11"/>
  <c r="C9" i="11"/>
  <c r="C8" i="11"/>
  <c r="C7" i="11"/>
  <c r="C6" i="11"/>
  <c r="T12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6" i="1"/>
  <c r="T6" i="1" s="1"/>
  <c r="O9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6" i="1"/>
  <c r="J6" i="1" s="1"/>
  <c r="J12" i="1" l="1"/>
  <c r="O18" i="1"/>
  <c r="T9" i="1"/>
  <c r="O15" i="1"/>
  <c r="J9" i="1"/>
  <c r="O12" i="1"/>
  <c r="T15" i="1"/>
  <c r="T18" i="1"/>
  <c r="O6" i="1"/>
  <c r="U6" i="1" s="1"/>
  <c r="V6" i="1" s="1"/>
  <c r="U9" i="1"/>
  <c r="V9" i="1" s="1"/>
  <c r="U12" i="1"/>
  <c r="V12" i="1" s="1"/>
  <c r="J15" i="1"/>
  <c r="U15" i="1" s="1"/>
  <c r="V15" i="1" s="1"/>
  <c r="J18" i="1"/>
  <c r="U18" i="1" l="1"/>
  <c r="V18" i="1" s="1"/>
</calcChain>
</file>

<file path=xl/sharedStrings.xml><?xml version="1.0" encoding="utf-8"?>
<sst xmlns="http://schemas.openxmlformats.org/spreadsheetml/2006/main" count="125" uniqueCount="46">
  <si>
    <t>Sl. No.</t>
  </si>
  <si>
    <t>L</t>
  </si>
  <si>
    <t>V</t>
  </si>
  <si>
    <t>Average</t>
  </si>
  <si>
    <t>L + V * Vc</t>
  </si>
  <si>
    <t>Cobalt</t>
  </si>
  <si>
    <t>Chromium</t>
  </si>
  <si>
    <t>Tungsten</t>
  </si>
  <si>
    <t>Nickel</t>
  </si>
  <si>
    <t>Mass (g)</t>
  </si>
  <si>
    <t>Length (cm)</t>
  </si>
  <si>
    <t>Width (cm)</t>
  </si>
  <si>
    <t>Height (cm)</t>
  </si>
  <si>
    <r>
      <t>V</t>
    </r>
    <r>
      <rPr>
        <vertAlign val="subscript"/>
        <sz val="12"/>
        <color theme="1"/>
        <rFont val="Calibri"/>
        <family val="2"/>
        <scheme val="minor"/>
      </rPr>
      <t>c</t>
    </r>
  </si>
  <si>
    <r>
      <t>L + V * V</t>
    </r>
    <r>
      <rPr>
        <vertAlign val="subscript"/>
        <sz val="12"/>
        <color theme="1"/>
        <rFont val="Calibri"/>
        <family val="2"/>
        <scheme val="minor"/>
      </rPr>
      <t>c</t>
    </r>
  </si>
  <si>
    <r>
      <t>Volume (cm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</si>
  <si>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r>
      <t>Density (g/cm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</si>
  <si>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t>Carbon (Graphite)</t>
  </si>
  <si>
    <t>Metals</t>
  </si>
  <si>
    <t>Metal</t>
  </si>
  <si>
    <t>Volume</t>
  </si>
  <si>
    <t>Q1</t>
  </si>
  <si>
    <t>Q2</t>
  </si>
  <si>
    <t>Q3</t>
  </si>
  <si>
    <t>Q4</t>
  </si>
  <si>
    <t>Q5</t>
  </si>
  <si>
    <t>Q6</t>
  </si>
  <si>
    <t>Q7</t>
  </si>
  <si>
    <t>Make a drop down list to get informations like dimensions, mass, volume and density.</t>
  </si>
  <si>
    <t>Make a chart using the dimensions of the metal pieces.</t>
  </si>
  <si>
    <t>Develop a pie chart which shows the percentage of the metal contribution through mass to the total mass of the Stellite alloy.</t>
  </si>
  <si>
    <t>Answer some short questions using various functions in MS Excel.</t>
  </si>
  <si>
    <t>Make a chart using data Volumes of the metal pieces VS Metals.</t>
  </si>
  <si>
    <t>Make a chart using data Masses of the metal pieces VS Metals.</t>
  </si>
  <si>
    <t>Make a chart using data Densities of the metal pieces VS Metals.</t>
  </si>
  <si>
    <t xml:space="preserve">Metal </t>
  </si>
  <si>
    <r>
      <t>Density (g/cm</t>
    </r>
    <r>
      <rPr>
        <b/>
        <vertAlign val="superscript"/>
        <sz val="12"/>
        <color theme="0"/>
        <rFont val="Calibri"/>
        <family val="2"/>
        <scheme val="minor"/>
      </rPr>
      <t>3</t>
    </r>
    <r>
      <rPr>
        <b/>
        <sz val="12"/>
        <color theme="0"/>
        <rFont val="Calibri"/>
        <family val="2"/>
        <scheme val="minor"/>
      </rPr>
      <t>)</t>
    </r>
  </si>
  <si>
    <t>Ans:</t>
  </si>
  <si>
    <t>Find out the column and row of the data "Tungsten". (using MATCH)</t>
  </si>
  <si>
    <t>Use HLookUP to find the length of Chromium piece.</t>
  </si>
  <si>
    <t>Use VLookUp to Find the Density Of No.5 element.</t>
  </si>
  <si>
    <t>Use LookUp to find the Volume of No.4</t>
  </si>
  <si>
    <t>Conditional Formatting:  Cells contains values less than '1' will be fill 'Orange' &amp; font will be 'Bold italic' with 'white' color.</t>
  </si>
  <si>
    <t>Calculate the density of Stelllite alloy.</t>
  </si>
  <si>
    <t>Total Mass</t>
  </si>
  <si>
    <t>Calculation of the metal pieces' dimension &amp; density: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</si>
</sst>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6"/>
      <color rgb="FF0D0D0D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vertAlign val="superscript"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2" borderId="1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2" fontId="3" fillId="2" borderId="2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9" borderId="12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/>
    </xf>
    <xf numFmtId="2" fontId="1" fillId="6" borderId="29" xfId="0" applyNumberFormat="1" applyFont="1" applyFill="1" applyBorder="1" applyAlignment="1">
      <alignment horizontal="center" vertical="center"/>
    </xf>
    <xf numFmtId="2" fontId="1" fillId="6" borderId="30" xfId="0" applyNumberFormat="1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/>
    </xf>
    <xf numFmtId="2" fontId="1" fillId="6" borderId="31" xfId="0" applyNumberFormat="1" applyFont="1" applyFill="1" applyBorder="1" applyAlignment="1">
      <alignment horizontal="center" vertical="center"/>
    </xf>
    <xf numFmtId="2" fontId="1" fillId="10" borderId="2" xfId="0" applyNumberFormat="1" applyFont="1" applyFill="1" applyBorder="1" applyAlignment="1">
      <alignment horizontal="center" vertical="center"/>
    </xf>
    <xf numFmtId="2" fontId="1" fillId="10" borderId="39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2" fontId="1" fillId="10" borderId="37" xfId="0" applyNumberFormat="1" applyFont="1" applyFill="1" applyBorder="1" applyAlignment="1">
      <alignment horizontal="center" vertical="center"/>
    </xf>
    <xf numFmtId="2" fontId="1" fillId="10" borderId="8" xfId="0" applyNumberFormat="1" applyFont="1" applyFill="1" applyBorder="1" applyAlignment="1">
      <alignment horizontal="center" vertical="center"/>
    </xf>
    <xf numFmtId="2" fontId="1" fillId="10" borderId="3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11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readingOrder="1"/>
    </xf>
    <xf numFmtId="2" fontId="3" fillId="12" borderId="1" xfId="0" applyNumberFormat="1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/>
    </xf>
    <xf numFmtId="0" fontId="3" fillId="12" borderId="41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/>
    </xf>
    <xf numFmtId="2" fontId="1" fillId="8" borderId="2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2" fontId="3" fillId="13" borderId="1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/>
    </xf>
    <xf numFmtId="2" fontId="4" fillId="10" borderId="1" xfId="0" applyNumberFormat="1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4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 vertical="center" wrapText="1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right" vertical="center"/>
    </xf>
    <xf numFmtId="0" fontId="1" fillId="11" borderId="33" xfId="0" applyFont="1" applyFill="1" applyBorder="1" applyAlignment="1">
      <alignment horizontal="center" vertical="center"/>
    </xf>
    <xf numFmtId="0" fontId="1" fillId="16" borderId="40" xfId="0" applyFont="1" applyFill="1" applyBorder="1"/>
    <xf numFmtId="4" fontId="0" fillId="9" borderId="1" xfId="0" applyNumberFormat="1" applyFill="1" applyBorder="1" applyAlignment="1">
      <alignment horizontal="center" vertical="center"/>
    </xf>
    <xf numFmtId="4" fontId="0" fillId="9" borderId="33" xfId="0" applyNumberFormat="1" applyFill="1" applyBorder="1" applyAlignment="1">
      <alignment horizontal="center" vertical="center"/>
    </xf>
    <xf numFmtId="2" fontId="1" fillId="16" borderId="41" xfId="0" applyNumberFormat="1" applyFont="1" applyFill="1" applyBorder="1"/>
    <xf numFmtId="2" fontId="13" fillId="8" borderId="1" xfId="0" applyNumberFormat="1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4" borderId="22" xfId="0" applyFill="1" applyBorder="1" applyAlignment="1">
      <alignment horizontal="center" vertical="center"/>
    </xf>
    <xf numFmtId="0" fontId="0" fillId="10" borderId="1" xfId="0" applyFill="1" applyBorder="1" applyAlignment="1">
      <alignment horizontal="right" vertical="center"/>
    </xf>
    <xf numFmtId="2" fontId="0" fillId="10" borderId="1" xfId="0" applyNumberFormat="1" applyFill="1" applyBorder="1"/>
    <xf numFmtId="0" fontId="0" fillId="17" borderId="1" xfId="0" applyFill="1" applyBorder="1" applyAlignment="1">
      <alignment horizontal="right" vertical="center"/>
    </xf>
    <xf numFmtId="2" fontId="0" fillId="17" borderId="1" xfId="0" applyNumberFormat="1" applyFill="1" applyBorder="1" applyAlignment="1">
      <alignment horizontal="right"/>
    </xf>
    <xf numFmtId="2" fontId="0" fillId="17" borderId="1" xfId="0" applyNumberFormat="1" applyFill="1" applyBorder="1"/>
    <xf numFmtId="0" fontId="3" fillId="5" borderId="16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2" fontId="1" fillId="2" borderId="10" xfId="0" applyNumberFormat="1" applyFont="1" applyFill="1" applyBorder="1" applyAlignment="1">
      <alignment horizontal="center" vertical="center"/>
    </xf>
    <xf numFmtId="2" fontId="1" fillId="3" borderId="10" xfId="0" applyNumberFormat="1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 wrapText="1"/>
    </xf>
    <xf numFmtId="0" fontId="3" fillId="6" borderId="22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23" xfId="0" applyFont="1" applyFill="1" applyBorder="1" applyAlignment="1">
      <alignment horizontal="center" vertical="center" wrapText="1"/>
    </xf>
    <xf numFmtId="0" fontId="3" fillId="7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1" fillId="5" borderId="18" xfId="0" applyNumberFormat="1" applyFont="1" applyFill="1" applyBorder="1" applyAlignment="1">
      <alignment horizontal="center" vertical="center"/>
    </xf>
    <xf numFmtId="2" fontId="1" fillId="4" borderId="10" xfId="0" applyNumberFormat="1" applyFont="1" applyFill="1" applyBorder="1" applyAlignment="1">
      <alignment horizontal="center" vertical="center"/>
    </xf>
    <xf numFmtId="2" fontId="1" fillId="5" borderId="17" xfId="0" applyNumberFormat="1" applyFont="1" applyFill="1" applyBorder="1" applyAlignment="1">
      <alignment horizontal="center" vertical="center"/>
    </xf>
    <xf numFmtId="2" fontId="1" fillId="5" borderId="19" xfId="0" applyNumberFormat="1" applyFont="1" applyFill="1" applyBorder="1" applyAlignment="1">
      <alignment horizontal="center" vertical="center"/>
    </xf>
    <xf numFmtId="2" fontId="1" fillId="4" borderId="9" xfId="0" applyNumberFormat="1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2" fontId="1" fillId="2" borderId="9" xfId="0" applyNumberFormat="1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2" fontId="1" fillId="3" borderId="9" xfId="0" applyNumberFormat="1" applyFont="1" applyFill="1" applyBorder="1" applyAlignment="1">
      <alignment horizontal="center" vertical="center"/>
    </xf>
    <xf numFmtId="2" fontId="1" fillId="3" borderId="11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left"/>
    </xf>
    <xf numFmtId="0" fontId="0" fillId="8" borderId="50" xfId="0" applyFill="1" applyBorder="1" applyAlignment="1">
      <alignment horizontal="left"/>
    </xf>
    <xf numFmtId="0" fontId="0" fillId="8" borderId="51" xfId="0" applyFill="1" applyBorder="1" applyAlignment="1">
      <alignment horizontal="left"/>
    </xf>
    <xf numFmtId="0" fontId="0" fillId="8" borderId="32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34" xfId="0" applyFill="1" applyBorder="1" applyAlignment="1">
      <alignment horizontal="left" vertical="top" wrapText="1"/>
    </xf>
    <xf numFmtId="0" fontId="0" fillId="8" borderId="45" xfId="0" applyFill="1" applyBorder="1" applyAlignment="1">
      <alignment horizontal="left" vertical="top" wrapText="1"/>
    </xf>
    <xf numFmtId="0" fontId="0" fillId="8" borderId="48" xfId="0" applyFill="1" applyBorder="1" applyAlignment="1">
      <alignment horizontal="left" vertical="top" wrapText="1"/>
    </xf>
    <xf numFmtId="0" fontId="0" fillId="8" borderId="20" xfId="0" applyFill="1" applyBorder="1" applyAlignment="1">
      <alignment horizontal="left" vertical="top" wrapText="1"/>
    </xf>
    <xf numFmtId="0" fontId="0" fillId="8" borderId="46" xfId="0" applyFill="1" applyBorder="1" applyAlignment="1">
      <alignment horizontal="left" vertical="top" wrapText="1"/>
    </xf>
    <xf numFmtId="0" fontId="0" fillId="8" borderId="49" xfId="0" applyFill="1" applyBorder="1" applyAlignment="1">
      <alignment horizontal="left" vertical="top" wrapText="1"/>
    </xf>
    <xf numFmtId="0" fontId="0" fillId="8" borderId="13" xfId="0" applyFill="1" applyBorder="1" applyAlignment="1">
      <alignment horizontal="left"/>
    </xf>
    <xf numFmtId="0" fontId="0" fillId="8" borderId="43" xfId="0" applyFill="1" applyBorder="1" applyAlignment="1">
      <alignment horizontal="left"/>
    </xf>
    <xf numFmtId="0" fontId="0" fillId="8" borderId="44" xfId="0" applyFill="1" applyBorder="1" applyAlignment="1">
      <alignment horizontal="left"/>
    </xf>
    <xf numFmtId="0" fontId="0" fillId="17" borderId="14" xfId="0" applyFill="1" applyBorder="1" applyAlignment="1">
      <alignment horizontal="left"/>
    </xf>
    <xf numFmtId="0" fontId="0" fillId="17" borderId="42" xfId="0" applyFill="1" applyBorder="1" applyAlignment="1">
      <alignment horizontal="left"/>
    </xf>
    <xf numFmtId="0" fontId="0" fillId="17" borderId="47" xfId="0" applyFill="1" applyBorder="1" applyAlignment="1">
      <alignment horizontal="left"/>
    </xf>
    <xf numFmtId="0" fontId="0" fillId="8" borderId="14" xfId="0" applyFill="1" applyBorder="1" applyAlignment="1">
      <alignment horizontal="left"/>
    </xf>
    <xf numFmtId="0" fontId="0" fillId="8" borderId="42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12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7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4" borderId="2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left" vertical="top" wrapText="1"/>
    </xf>
    <xf numFmtId="0" fontId="0" fillId="10" borderId="1" xfId="0" applyFill="1" applyBorder="1" applyAlignment="1">
      <alignment horizontal="left" vertical="top" wrapText="1"/>
    </xf>
    <xf numFmtId="0" fontId="0" fillId="17" borderId="14" xfId="0" applyFill="1" applyBorder="1" applyAlignment="1">
      <alignment horizontal="left" vertical="center"/>
    </xf>
    <xf numFmtId="0" fontId="0" fillId="17" borderId="42" xfId="0" applyFill="1" applyBorder="1" applyAlignment="1">
      <alignment horizontal="left" vertical="center"/>
    </xf>
    <xf numFmtId="0" fontId="0" fillId="17" borderId="54" xfId="0" applyFill="1" applyBorder="1" applyAlignment="1">
      <alignment horizontal="left" vertical="center"/>
    </xf>
  </cellXfs>
  <cellStyles count="1">
    <cellStyle name="Normal" xfId="0" builtinId="0"/>
  </cellStyles>
  <dxfs count="1">
    <dxf>
      <font>
        <b/>
        <i/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tx1"/>
                </a:solidFill>
              </a:rPr>
              <a:t>Dimensions comparison of the metal pieces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67780702669898"/>
          <c:y val="0.16965665236051503"/>
          <c:w val="0.86972180023888768"/>
          <c:h val="0.594041093575749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'Q2 Dimensions'!$D$4</c:f>
              <c:strCache>
                <c:ptCount val="1"/>
                <c:pt idx="0">
                  <c:v>Length (cm)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'Q2 Dimensions'!$C$5:$C$9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'Q2 Dimensions'!$D$5:$D$9</c:f>
              <c:numCache>
                <c:formatCode>0.00</c:formatCode>
                <c:ptCount val="5"/>
                <c:pt idx="0">
                  <c:v>9.9966666666666679</c:v>
                </c:pt>
                <c:pt idx="1">
                  <c:v>10.036666666666667</c:v>
                </c:pt>
                <c:pt idx="2">
                  <c:v>4.996666666666667</c:v>
                </c:pt>
                <c:pt idx="3">
                  <c:v>7</c:v>
                </c:pt>
                <c:pt idx="4">
                  <c:v>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C-4EFC-9844-07881B4A5098}"/>
            </c:ext>
          </c:extLst>
        </c:ser>
        <c:ser>
          <c:idx val="1"/>
          <c:order val="1"/>
          <c:tx>
            <c:strRef>
              <c:f>'Q2 Dimensions'!$E$4</c:f>
              <c:strCache>
                <c:ptCount val="1"/>
                <c:pt idx="0">
                  <c:v>Width (cm)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'Q2 Dimensions'!$C$5:$C$9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'Q2 Dimensions'!$E$5:$E$9</c:f>
              <c:numCache>
                <c:formatCode>0.00</c:formatCode>
                <c:ptCount val="5"/>
                <c:pt idx="0">
                  <c:v>4.9799999999999995</c:v>
                </c:pt>
                <c:pt idx="1">
                  <c:v>3.9933333333333336</c:v>
                </c:pt>
                <c:pt idx="2">
                  <c:v>1.9733333333333334</c:v>
                </c:pt>
                <c:pt idx="3">
                  <c:v>4</c:v>
                </c:pt>
                <c:pt idx="4">
                  <c:v>1.9766666666666666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C-4EFC-9844-07881B4A5098}"/>
            </c:ext>
          </c:extLst>
        </c:ser>
        <c:ser>
          <c:idx val="2"/>
          <c:order val="2"/>
          <c:tx>
            <c:strRef>
              <c:f>'Q2 Dimensions'!$F$4</c:f>
              <c:strCache>
                <c:ptCount val="1"/>
                <c:pt idx="0">
                  <c:v>Height (cm)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'Q2 Dimensions'!$C$5:$C$9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'Q2 Dimensions'!$F$5:$F$9</c:f>
              <c:numCache>
                <c:formatCode>0.00</c:formatCode>
                <c:ptCount val="5"/>
                <c:pt idx="0">
                  <c:v>2.6966666666666668</c:v>
                </c:pt>
                <c:pt idx="1">
                  <c:v>2.08</c:v>
                </c:pt>
                <c:pt idx="2">
                  <c:v>0.52</c:v>
                </c:pt>
                <c:pt idx="3">
                  <c:v>0.98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C-4EFC-9844-07881B4A50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783752911"/>
        <c:axId val="783755791"/>
      </c:barChart>
      <c:catAx>
        <c:axId val="78375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Metals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755791"/>
        <c:crosses val="autoZero"/>
        <c:auto val="1"/>
        <c:lblAlgn val="ctr"/>
        <c:lblOffset val="100"/>
        <c:noMultiLvlLbl val="0"/>
      </c:catAx>
      <c:valAx>
        <c:axId val="78375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Dimensions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75291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ln w="0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cap="none" normalizeH="0" baseline="0">
                <a:solidFill>
                  <a:schemeClr val="tx1"/>
                </a:solidFill>
              </a:rPr>
              <a:t>Contributions of metal pieces by mass in Stellite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ln w="0"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86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0624517848776205"/>
          <c:y val="0.2412640580539287"/>
          <c:w val="0.55444512282408009"/>
          <c:h val="0.57303593742942749"/>
        </c:manualLayout>
      </c:layout>
      <c:pie3DChart>
        <c:varyColors val="1"/>
        <c:ser>
          <c:idx val="0"/>
          <c:order val="0"/>
          <c:explosion val="7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D9C8-480B-9CB7-4FAA5B2B85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D9C8-480B-9CB7-4FAA5B2B850A}"/>
              </c:ext>
            </c:extLst>
          </c:dPt>
          <c:dPt>
            <c:idx val="2"/>
            <c:bubble3D val="0"/>
            <c:explosion val="29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D9C8-480B-9CB7-4FAA5B2B850A}"/>
              </c:ext>
            </c:extLst>
          </c:dPt>
          <c:dPt>
            <c:idx val="3"/>
            <c:bubble3D val="0"/>
            <c:explosion val="6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D9C8-480B-9CB7-4FAA5B2B850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D9C8-480B-9CB7-4FAA5B2B850A}"/>
              </c:ext>
            </c:extLst>
          </c:dPt>
          <c:dLbls>
            <c:dLbl>
              <c:idx val="0"/>
              <c:layout>
                <c:manualLayout>
                  <c:x val="1.6546021308865198E-2"/>
                  <c:y val="-0.1300191204588910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000" b="1" i="0" u="none" strike="noStrike" kern="1200" spc="0" baseline="0">
                        <a:ln w="0">
                          <a:noFill/>
                        </a:ln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C715422-5940-4837-9D4E-396817DA5A31}" type="CATEGORYNAME">
                      <a:rPr lang="en-US">
                        <a:solidFill>
                          <a:schemeClr val="accent1"/>
                        </a:solidFill>
                      </a:rPr>
                      <a:pPr>
                        <a:defRPr/>
                      </a:pPr>
                      <a:t>[CATEGORY NAME]</a:t>
                    </a:fld>
                    <a:r>
                      <a:rPr lang="en-US" baseline="0">
                        <a:solidFill>
                          <a:schemeClr val="accent1"/>
                        </a:solidFill>
                      </a:rPr>
                      <a:t>, </a:t>
                    </a:r>
                    <a:fld id="{FEA02C68-4D83-45BD-9702-2A804F1C8CCF}" type="VALUE">
                      <a:rPr lang="en-US" baseline="0">
                        <a:solidFill>
                          <a:schemeClr val="accent1"/>
                        </a:solidFill>
                      </a:rPr>
                      <a:pPr>
                        <a:defRPr/>
                      </a:pPr>
                      <a:t>[VALUE]</a:t>
                    </a:fld>
                    <a:r>
                      <a:rPr lang="en-US" baseline="0">
                        <a:solidFill>
                          <a:schemeClr val="accent1"/>
                        </a:solidFill>
                      </a:rPr>
                      <a:t>, </a:t>
                    </a:r>
                    <a:fld id="{49878D78-9F1B-47ED-928A-D54B28C99FDC}" type="PERCENTAGE">
                      <a:rPr lang="en-US" baseline="0">
                        <a:solidFill>
                          <a:schemeClr val="accent1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>
                      <a:solidFill>
                        <a:schemeClr val="accent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spc="0" baseline="0">
                      <a:ln w="0">
                        <a:noFill/>
                      </a:ln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C8-480B-9CB7-4FAA5B2B850A}"/>
                </c:ext>
              </c:extLst>
            </c:dLbl>
            <c:dLbl>
              <c:idx val="1"/>
              <c:layout>
                <c:manualLayout>
                  <c:x val="1.6546021308865046E-2"/>
                  <c:y val="-0.229899579952123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spc="0" baseline="0">
                      <a:ln w="0">
                        <a:noFill/>
                      </a:ln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8-480B-9CB7-4FAA5B2B850A}"/>
                </c:ext>
              </c:extLst>
            </c:dLbl>
            <c:dLbl>
              <c:idx val="2"/>
              <c:layout>
                <c:manualLayout>
                  <c:x val="5.3774569253811896E-2"/>
                  <c:y val="4.0296291835413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spc="0" baseline="0">
                      <a:ln w="0">
                        <a:noFill/>
                      </a:ln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8-480B-9CB7-4FAA5B2B850A}"/>
                </c:ext>
              </c:extLst>
            </c:dLbl>
            <c:dLbl>
              <c:idx val="3"/>
              <c:layout>
                <c:manualLayout>
                  <c:x val="-1.8614273972473273E-2"/>
                  <c:y val="0.11894521311031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spc="0" baseline="0">
                      <a:ln w="0">
                        <a:noFill/>
                      </a:ln>
                      <a:solidFill>
                        <a:schemeClr val="accent4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C8-480B-9CB7-4FAA5B2B850A}"/>
                </c:ext>
              </c:extLst>
            </c:dLbl>
            <c:dLbl>
              <c:idx val="4"/>
              <c:layout>
                <c:manualLayout>
                  <c:x val="-9.3071369862366748E-2"/>
                  <c:y val="4.4518751599644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spc="0" baseline="0">
                      <a:ln w="0">
                        <a:noFill/>
                      </a:ln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C8-480B-9CB7-4FAA5B2B850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'Q3 Pie chart'!$B$5:$B$9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'Q3 Pie chart'!$C$5:$C$9</c:f>
              <c:numCache>
                <c:formatCode>#,##0.00</c:formatCode>
                <c:ptCount val="5"/>
                <c:pt idx="0">
                  <c:v>1202</c:v>
                </c:pt>
                <c:pt idx="1">
                  <c:v>598</c:v>
                </c:pt>
                <c:pt idx="2">
                  <c:v>100</c:v>
                </c:pt>
                <c:pt idx="3">
                  <c:v>62</c:v>
                </c:pt>
                <c:pt idx="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8-480B-9CB7-4FAA5B2B85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527050872012783"/>
          <c:y val="0.39704460938558589"/>
          <c:w val="0.16956919599853365"/>
          <c:h val="0.32266000210776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 w="0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tx1"/>
                </a:solidFill>
              </a:rPr>
              <a:t>Mass (g) vs Metal in Stellite</a:t>
            </a:r>
            <a:r>
              <a:rPr lang="en-US" baseline="0">
                <a:solidFill>
                  <a:schemeClr val="tx1"/>
                </a:solidFill>
              </a:rPr>
              <a:t> alloy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68628110360167"/>
          <c:y val="0.14927222390878186"/>
          <c:w val="0.81556912846670182"/>
          <c:h val="0.68766002287708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'Q5 Mass'!$D$5</c:f>
              <c:strCache>
                <c:ptCount val="1"/>
                <c:pt idx="0">
                  <c:v>Mass (g)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'Q5 Mass'!$C$6:$C$10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'Q5 Mass'!$D$6:$D$10</c:f>
              <c:numCache>
                <c:formatCode>General</c:formatCode>
                <c:ptCount val="5"/>
                <c:pt idx="0">
                  <c:v>1202</c:v>
                </c:pt>
                <c:pt idx="1">
                  <c:v>598</c:v>
                </c:pt>
                <c:pt idx="2">
                  <c:v>100</c:v>
                </c:pt>
                <c:pt idx="3">
                  <c:v>62</c:v>
                </c:pt>
                <c:pt idx="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5-4F8B-9DB7-F8CD6E9ECB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796773599"/>
        <c:axId val="796766399"/>
      </c:barChart>
      <c:catAx>
        <c:axId val="796773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Metal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766399"/>
        <c:crosses val="autoZero"/>
        <c:auto val="1"/>
        <c:lblAlgn val="ctr"/>
        <c:lblOffset val="100"/>
        <c:noMultiLvlLbl val="0"/>
      </c:catAx>
      <c:valAx>
        <c:axId val="79676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Mass in gram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77359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tx1"/>
                </a:solidFill>
              </a:rPr>
              <a:t>Volume in cm</a:t>
            </a:r>
            <a:r>
              <a:rPr lang="en-US" baseline="30000">
                <a:solidFill>
                  <a:schemeClr val="tx1"/>
                </a:solidFill>
              </a:rPr>
              <a:t>3</a:t>
            </a:r>
            <a:r>
              <a:rPr lang="en-US">
                <a:solidFill>
                  <a:schemeClr val="tx1"/>
                </a:solidFill>
              </a:rPr>
              <a:t> per metal in the Stellite alloy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86923302870986"/>
          <c:y val="0.17149680478822307"/>
          <c:w val="0.82521297423920226"/>
          <c:h val="0.655126532572645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'Q6 Volume'!$C$4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'Q6 Volume'!$B$5:$B$9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'Q6 Volume'!$C$5:$C$9</c:f>
              <c:numCache>
                <c:formatCode>0.00</c:formatCode>
                <c:ptCount val="5"/>
                <c:pt idx="0">
                  <c:v>134.25</c:v>
                </c:pt>
                <c:pt idx="1">
                  <c:v>83.37</c:v>
                </c:pt>
                <c:pt idx="2">
                  <c:v>5.13</c:v>
                </c:pt>
                <c:pt idx="3">
                  <c:v>27.44</c:v>
                </c:pt>
                <c:pt idx="4">
                  <c:v>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1-4F7A-B0CC-5E0016216F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693215743"/>
        <c:axId val="693212383"/>
      </c:barChart>
      <c:catAx>
        <c:axId val="693215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u="none" strike="noStrike" kern="1200" baseline="0">
                    <a:solidFill>
                      <a:schemeClr val="tx1"/>
                    </a:solidFill>
                  </a:rPr>
                  <a:t>Metals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12383"/>
        <c:crosses val="autoZero"/>
        <c:auto val="1"/>
        <c:lblAlgn val="ctr"/>
        <c:lblOffset val="100"/>
        <c:noMultiLvlLbl val="0"/>
      </c:catAx>
      <c:valAx>
        <c:axId val="69321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u="none" strike="noStrike" kern="1200" baseline="0">
                    <a:solidFill>
                      <a:schemeClr val="tx1"/>
                    </a:solidFill>
                  </a:rPr>
                  <a:t>Volume in cm</a:t>
                </a:r>
                <a:r>
                  <a:rPr lang="en-US" sz="800" b="1" i="0" u="none" strike="noStrike" kern="1200" baseline="30000">
                    <a:solidFill>
                      <a:schemeClr val="tx1"/>
                    </a:solidFill>
                  </a:rPr>
                  <a:t>3</a:t>
                </a:r>
                <a:r>
                  <a:rPr lang="en-US" sz="800" b="1" i="0" u="none" strike="noStrike" kern="1200" baseline="0">
                    <a:solidFill>
                      <a:schemeClr val="tx1"/>
                    </a:solidFill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15743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tx1"/>
                </a:solidFill>
              </a:rPr>
              <a:t>Density in g/cm</a:t>
            </a:r>
            <a:r>
              <a:rPr lang="en-US" baseline="30000">
                <a:solidFill>
                  <a:schemeClr val="tx1"/>
                </a:solidFill>
              </a:rPr>
              <a:t>3</a:t>
            </a:r>
            <a:r>
              <a:rPr lang="en-US">
                <a:solidFill>
                  <a:schemeClr val="tx1"/>
                </a:solidFill>
              </a:rPr>
              <a:t> per metal in the Stellite alloy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182720222683929E-2"/>
          <c:y val="0.13604926879238977"/>
          <c:w val="0.84426284829970999"/>
          <c:h val="0.738785934557854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'Q7 Density'!$C$3</c:f>
              <c:strCache>
                <c:ptCount val="1"/>
                <c:pt idx="0">
                  <c:v>Density (g/cm3)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'Q7 Density'!$B$4:$B$8</c:f>
              <c:strCache>
                <c:ptCount val="5"/>
                <c:pt idx="0">
                  <c:v>Cobalt</c:v>
                </c:pt>
                <c:pt idx="1">
                  <c:v>Chromium</c:v>
                </c:pt>
                <c:pt idx="2">
                  <c:v>Tungsten</c:v>
                </c:pt>
                <c:pt idx="3">
                  <c:v>Carbon (Graphite)</c:v>
                </c:pt>
                <c:pt idx="4">
                  <c:v>Nickel</c:v>
                </c:pt>
              </c:strCache>
            </c:strRef>
          </c:cat>
          <c:val>
            <c:numRef>
              <c:f>'Q7 Density'!$C$4:$C$8</c:f>
              <c:numCache>
                <c:formatCode>0.00</c:formatCode>
                <c:ptCount val="5"/>
                <c:pt idx="0">
                  <c:v>8.9534960628677052</c:v>
                </c:pt>
                <c:pt idx="1">
                  <c:v>7.1731974413239374</c:v>
                </c:pt>
                <c:pt idx="2">
                  <c:v>19.503646921925771</c:v>
                </c:pt>
                <c:pt idx="3">
                  <c:v>2.2594752186588924</c:v>
                </c:pt>
                <c:pt idx="4">
                  <c:v>8.9862386124387363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8-4910-B375-5D11FADDA2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783742831"/>
        <c:axId val="783749071"/>
      </c:barChart>
      <c:catAx>
        <c:axId val="783742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Metals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749071"/>
        <c:crosses val="autoZero"/>
        <c:auto val="1"/>
        <c:lblAlgn val="ctr"/>
        <c:lblOffset val="100"/>
        <c:noMultiLvlLbl val="0"/>
      </c:catAx>
      <c:valAx>
        <c:axId val="78374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u="none" strike="noStrike" kern="1200" baseline="0">
                    <a:solidFill>
                      <a:schemeClr val="tx1"/>
                    </a:solidFill>
                  </a:rPr>
                  <a:t>Density in g/cm</a:t>
                </a:r>
                <a:r>
                  <a:rPr lang="en-US" sz="800" b="1" i="0" u="none" strike="noStrike" kern="1200" baseline="30000">
                    <a:solidFill>
                      <a:schemeClr val="tx1"/>
                    </a:solidFill>
                  </a:rPr>
                  <a:t>3</a:t>
                </a:r>
                <a:r>
                  <a:rPr lang="en-US" sz="800" b="1" i="0" u="none" strike="noStrike" kern="1200" baseline="0">
                    <a:solidFill>
                      <a:schemeClr val="tx1"/>
                    </a:solidFill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74283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60000"/>
        <a:lumOff val="4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Drop" dropLines="5" dropStyle="combo" dx="31" fmlaLink="$H$3" fmlaRange="$F$34:$F$38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19050</xdr:rowOff>
        </xdr:from>
        <xdr:to>
          <xdr:col>3</xdr:col>
          <xdr:colOff>0</xdr:colOff>
          <xdr:row>4</xdr:row>
          <xdr:rowOff>171450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12700</xdr:rowOff>
    </xdr:from>
    <xdr:to>
      <xdr:col>16</xdr:col>
      <xdr:colOff>603249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BE543C-9167-97AB-1AEC-F43A258B8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1</xdr:row>
      <xdr:rowOff>12700</xdr:rowOff>
    </xdr:from>
    <xdr:to>
      <xdr:col>14</xdr:col>
      <xdr:colOff>31749</xdr:colOff>
      <xdr:row>16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EB177-034E-EDB2-976F-4D1066C2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606135</xdr:colOff>
      <xdr:row>1</xdr:row>
      <xdr:rowOff>187612</xdr:rowOff>
    </xdr:from>
    <xdr:to>
      <xdr:col>16</xdr:col>
      <xdr:colOff>14431</xdr:colOff>
      <xdr:row>19</xdr:row>
      <xdr:rowOff>165965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698FEE-B94C-37DF-6389-2FF8706BD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606776</xdr:colOff>
      <xdr:row>2</xdr:row>
      <xdr:rowOff>14112</xdr:rowOff>
    </xdr:from>
    <xdr:to>
      <xdr:col>16</xdr:col>
      <xdr:colOff>7055</xdr:colOff>
      <xdr:row>19</xdr:row>
      <xdr:rowOff>28222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4A6431-141F-22FD-BEDC-E1C67422F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605465</xdr:colOff>
      <xdr:row>1</xdr:row>
      <xdr:rowOff>184592</xdr:rowOff>
    </xdr:from>
    <xdr:to>
      <xdr:col>15</xdr:col>
      <xdr:colOff>606498</xdr:colOff>
      <xdr:row>19</xdr:row>
      <xdr:rowOff>151191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E3AC8E-23F0-677D-C68B-661CFC1F28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C2:V20"/>
  <sheetViews>
    <sheetView zoomScale="75" workbookViewId="0">
      <selection activeCell="C4" sqref="C4:C5"/>
    </sheetView>
  </sheetViews>
  <sheetFormatPr defaultRowHeight="14.5" x14ac:dyDescent="0.35"/>
  <cols>
    <col min="3" max="3" width="10.08984375" customWidth="1"/>
    <col min="4" max="4" width="7.08984375" customWidth="1"/>
    <col min="5" max="5" width="5.453125" customWidth="1"/>
    <col min="6" max="6" width="9.08984375" customWidth="1"/>
    <col min="9" max="10" width="9.453125" customWidth="1"/>
    <col min="14" max="14" width="9.7265625" customWidth="1"/>
    <col min="15" max="15" width="9.81640625" customWidth="1"/>
    <col min="19" max="19" width="9.1796875" customWidth="1"/>
    <col min="20" max="20" width="9.54296875" customWidth="1"/>
    <col min="22" max="22" width="9.36328125" customWidth="1"/>
  </cols>
  <sheetData>
    <row r="2" spans="3:22" ht="23.5" x14ac:dyDescent="0.35">
      <c r="C2" s="149" t="s">
        <v>45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</row>
    <row r="3" spans="3:22" ht="15" thickBot="1" x14ac:dyDescent="0.4"/>
    <row r="4" spans="3:22" ht="28" customHeight="1" thickBot="1" x14ac:dyDescent="0.4">
      <c r="C4" s="127" t="s">
        <v>18</v>
      </c>
      <c r="D4" s="129" t="s">
        <v>9</v>
      </c>
      <c r="E4" s="131" t="s">
        <v>0</v>
      </c>
      <c r="F4" s="133" t="s">
        <v>10</v>
      </c>
      <c r="G4" s="134"/>
      <c r="H4" s="134"/>
      <c r="I4" s="134"/>
      <c r="J4" s="135"/>
      <c r="K4" s="133" t="s">
        <v>11</v>
      </c>
      <c r="L4" s="134"/>
      <c r="M4" s="134"/>
      <c r="N4" s="134"/>
      <c r="O4" s="135"/>
      <c r="P4" s="133" t="s">
        <v>12</v>
      </c>
      <c r="Q4" s="134"/>
      <c r="R4" s="134"/>
      <c r="S4" s="134"/>
      <c r="T4" s="135"/>
      <c r="U4" s="118" t="s">
        <v>15</v>
      </c>
      <c r="V4" s="120" t="s">
        <v>16</v>
      </c>
    </row>
    <row r="5" spans="3:22" ht="25" customHeight="1" thickTop="1" thickBot="1" x14ac:dyDescent="0.4">
      <c r="C5" s="128"/>
      <c r="D5" s="130"/>
      <c r="E5" s="132"/>
      <c r="F5" s="22" t="s">
        <v>1</v>
      </c>
      <c r="G5" s="23" t="s">
        <v>2</v>
      </c>
      <c r="H5" s="23" t="s">
        <v>13</v>
      </c>
      <c r="I5" s="23" t="s">
        <v>14</v>
      </c>
      <c r="J5" s="37" t="s">
        <v>3</v>
      </c>
      <c r="K5" s="25" t="s">
        <v>1</v>
      </c>
      <c r="L5" s="26" t="s">
        <v>2</v>
      </c>
      <c r="M5" s="26" t="s">
        <v>13</v>
      </c>
      <c r="N5" s="26" t="s">
        <v>4</v>
      </c>
      <c r="O5" s="27" t="s">
        <v>3</v>
      </c>
      <c r="P5" s="22" t="s">
        <v>1</v>
      </c>
      <c r="Q5" s="23" t="s">
        <v>2</v>
      </c>
      <c r="R5" s="23" t="s">
        <v>13</v>
      </c>
      <c r="S5" s="23" t="s">
        <v>4</v>
      </c>
      <c r="T5" s="24" t="s">
        <v>3</v>
      </c>
      <c r="U5" s="119"/>
      <c r="V5" s="121"/>
    </row>
    <row r="6" spans="3:22" ht="15" thickTop="1" x14ac:dyDescent="0.35">
      <c r="C6" s="155" t="s">
        <v>5</v>
      </c>
      <c r="D6" s="136">
        <v>1202</v>
      </c>
      <c r="E6" s="18">
        <v>1</v>
      </c>
      <c r="F6" s="1">
        <v>10</v>
      </c>
      <c r="G6" s="2">
        <v>6</v>
      </c>
      <c r="H6" s="2">
        <v>0.01</v>
      </c>
      <c r="I6" s="2">
        <f>F6+G6*H6</f>
        <v>10.06</v>
      </c>
      <c r="J6" s="125">
        <f>AVERAGE(I6,I7,I8)</f>
        <v>9.9966666666666679</v>
      </c>
      <c r="K6" s="10">
        <v>4.9000000000000004</v>
      </c>
      <c r="L6" s="11">
        <v>2</v>
      </c>
      <c r="M6" s="11">
        <v>0.01</v>
      </c>
      <c r="N6" s="11">
        <f>K6+L6*M6</f>
        <v>4.92</v>
      </c>
      <c r="O6" s="126">
        <f>AVERAGE(N6,N7,N8)</f>
        <v>4.9799999999999995</v>
      </c>
      <c r="P6" s="1">
        <v>2.6</v>
      </c>
      <c r="Q6" s="2">
        <v>8</v>
      </c>
      <c r="R6" s="2">
        <v>0.01</v>
      </c>
      <c r="S6" s="2">
        <f>P6+Q6*R6</f>
        <v>2.68</v>
      </c>
      <c r="T6" s="125">
        <f>AVERAGE(S6,S7,S8)</f>
        <v>2.6966666666666668</v>
      </c>
      <c r="U6" s="141">
        <f>J6*O6*T6</f>
        <v>134.24923533333333</v>
      </c>
      <c r="V6" s="142">
        <f>D6/U6</f>
        <v>8.9534960628677052</v>
      </c>
    </row>
    <row r="7" spans="3:22" x14ac:dyDescent="0.35">
      <c r="C7" s="153"/>
      <c r="D7" s="137"/>
      <c r="E7" s="19">
        <v>2</v>
      </c>
      <c r="F7" s="3">
        <v>9.8000000000000007</v>
      </c>
      <c r="G7" s="4">
        <v>8</v>
      </c>
      <c r="H7" s="2">
        <v>0.01</v>
      </c>
      <c r="I7" s="2">
        <f t="shared" ref="I7:I20" si="0">F7+G7*H7</f>
        <v>9.8800000000000008</v>
      </c>
      <c r="J7" s="125"/>
      <c r="K7" s="12">
        <v>5</v>
      </c>
      <c r="L7" s="13">
        <v>3</v>
      </c>
      <c r="M7" s="11">
        <v>0.01</v>
      </c>
      <c r="N7" s="11">
        <f t="shared" ref="N7:N20" si="1">K7+L7*M7</f>
        <v>5.03</v>
      </c>
      <c r="O7" s="126"/>
      <c r="P7" s="3">
        <v>2.7</v>
      </c>
      <c r="Q7" s="4">
        <v>2</v>
      </c>
      <c r="R7" s="2">
        <v>0.01</v>
      </c>
      <c r="S7" s="2">
        <f t="shared" ref="S7:S20" si="2">P7+Q7*R7</f>
        <v>2.72</v>
      </c>
      <c r="T7" s="125"/>
      <c r="U7" s="141"/>
      <c r="V7" s="142"/>
    </row>
    <row r="8" spans="3:22" ht="15" thickBot="1" x14ac:dyDescent="0.4">
      <c r="C8" s="156"/>
      <c r="D8" s="138"/>
      <c r="E8" s="28">
        <v>3</v>
      </c>
      <c r="F8" s="29">
        <v>10</v>
      </c>
      <c r="G8" s="30">
        <v>5</v>
      </c>
      <c r="H8" s="31">
        <v>0.01</v>
      </c>
      <c r="I8" s="31">
        <f t="shared" si="0"/>
        <v>10.050000000000001</v>
      </c>
      <c r="J8" s="125"/>
      <c r="K8" s="32">
        <v>4.9000000000000004</v>
      </c>
      <c r="L8" s="33">
        <v>9</v>
      </c>
      <c r="M8" s="34">
        <v>0.01</v>
      </c>
      <c r="N8" s="34">
        <f t="shared" si="1"/>
        <v>4.99</v>
      </c>
      <c r="O8" s="126"/>
      <c r="P8" s="29">
        <v>2.6</v>
      </c>
      <c r="Q8" s="30">
        <v>9</v>
      </c>
      <c r="R8" s="31">
        <v>0.01</v>
      </c>
      <c r="S8" s="31">
        <f t="shared" si="2"/>
        <v>2.69</v>
      </c>
      <c r="T8" s="125"/>
      <c r="U8" s="141"/>
      <c r="V8" s="142"/>
    </row>
    <row r="9" spans="3:22" ht="16.5" x14ac:dyDescent="0.35">
      <c r="C9" s="152" t="s">
        <v>6</v>
      </c>
      <c r="D9" s="139">
        <v>598</v>
      </c>
      <c r="E9" s="21">
        <v>1</v>
      </c>
      <c r="F9" s="7">
        <v>9.9</v>
      </c>
      <c r="G9" s="8">
        <v>5</v>
      </c>
      <c r="H9" s="8">
        <v>0.01</v>
      </c>
      <c r="I9" s="8">
        <f t="shared" si="0"/>
        <v>9.9500000000000011</v>
      </c>
      <c r="J9" s="147">
        <f>AVERAGE(I9,I10,I11)</f>
        <v>10.036666666666667</v>
      </c>
      <c r="K9" s="16">
        <v>3.9</v>
      </c>
      <c r="L9" s="17">
        <v>5</v>
      </c>
      <c r="M9" s="17">
        <v>0.01</v>
      </c>
      <c r="N9" s="17">
        <f t="shared" si="1"/>
        <v>3.9499999999999997</v>
      </c>
      <c r="O9" s="150">
        <f t="shared" ref="O9" si="3">AVERAGE(N9,N10,N11)</f>
        <v>3.9933333333333336</v>
      </c>
      <c r="P9" s="7">
        <v>2</v>
      </c>
      <c r="Q9" s="9">
        <v>6</v>
      </c>
      <c r="R9" s="8">
        <v>0.01</v>
      </c>
      <c r="S9" s="8">
        <f t="shared" si="2"/>
        <v>2.06</v>
      </c>
      <c r="T9" s="147">
        <f t="shared" ref="T9" si="4">AVERAGE(S9,S10,S11)</f>
        <v>2.08</v>
      </c>
      <c r="U9" s="143">
        <f t="shared" ref="U9" si="5">J9*O9*T9</f>
        <v>83.365891555555564</v>
      </c>
      <c r="V9" s="145">
        <f t="shared" ref="V9" si="6">D9/U9</f>
        <v>7.1731974413239374</v>
      </c>
    </row>
    <row r="10" spans="3:22" x14ac:dyDescent="0.35">
      <c r="C10" s="153"/>
      <c r="D10" s="137"/>
      <c r="E10" s="19">
        <v>2</v>
      </c>
      <c r="F10" s="3">
        <v>10</v>
      </c>
      <c r="G10" s="4">
        <v>8</v>
      </c>
      <c r="H10" s="2">
        <v>0.01</v>
      </c>
      <c r="I10" s="2">
        <f t="shared" si="0"/>
        <v>10.08</v>
      </c>
      <c r="J10" s="125"/>
      <c r="K10" s="12">
        <v>4</v>
      </c>
      <c r="L10" s="13">
        <v>5</v>
      </c>
      <c r="M10" s="11">
        <v>0.01</v>
      </c>
      <c r="N10" s="11">
        <f t="shared" si="1"/>
        <v>4.05</v>
      </c>
      <c r="O10" s="126"/>
      <c r="P10" s="3">
        <v>2</v>
      </c>
      <c r="Q10" s="4">
        <v>10</v>
      </c>
      <c r="R10" s="2">
        <v>0.01</v>
      </c>
      <c r="S10" s="2">
        <f t="shared" si="2"/>
        <v>2.1</v>
      </c>
      <c r="T10" s="125"/>
      <c r="U10" s="141"/>
      <c r="V10" s="142"/>
    </row>
    <row r="11" spans="3:22" ht="15" thickBot="1" x14ac:dyDescent="0.4">
      <c r="C11" s="154"/>
      <c r="D11" s="140"/>
      <c r="E11" s="20">
        <v>3</v>
      </c>
      <c r="F11" s="5">
        <v>10</v>
      </c>
      <c r="G11" s="6">
        <v>8</v>
      </c>
      <c r="H11" s="35">
        <v>0.01</v>
      </c>
      <c r="I11" s="35">
        <f t="shared" si="0"/>
        <v>10.08</v>
      </c>
      <c r="J11" s="148"/>
      <c r="K11" s="14">
        <v>3.9</v>
      </c>
      <c r="L11" s="15">
        <v>8</v>
      </c>
      <c r="M11" s="36">
        <v>0.01</v>
      </c>
      <c r="N11" s="36">
        <f t="shared" si="1"/>
        <v>3.98</v>
      </c>
      <c r="O11" s="151"/>
      <c r="P11" s="5">
        <v>2</v>
      </c>
      <c r="Q11" s="6">
        <v>8</v>
      </c>
      <c r="R11" s="35">
        <v>0.01</v>
      </c>
      <c r="S11" s="35">
        <f t="shared" si="2"/>
        <v>2.08</v>
      </c>
      <c r="T11" s="148"/>
      <c r="U11" s="144"/>
      <c r="V11" s="146"/>
    </row>
    <row r="12" spans="3:22" x14ac:dyDescent="0.35">
      <c r="C12" s="152" t="s">
        <v>7</v>
      </c>
      <c r="D12" s="139">
        <v>100</v>
      </c>
      <c r="E12" s="21">
        <v>1</v>
      </c>
      <c r="F12" s="7">
        <v>4.9000000000000004</v>
      </c>
      <c r="G12" s="8">
        <v>5</v>
      </c>
      <c r="H12" s="8">
        <v>0.01</v>
      </c>
      <c r="I12" s="8">
        <f t="shared" si="0"/>
        <v>4.95</v>
      </c>
      <c r="J12" s="147">
        <f>AVERAGE(I12,I13,I14)</f>
        <v>4.996666666666667</v>
      </c>
      <c r="K12" s="16">
        <v>1.9</v>
      </c>
      <c r="L12" s="17">
        <v>5</v>
      </c>
      <c r="M12" s="17">
        <v>0.01</v>
      </c>
      <c r="N12" s="17">
        <f t="shared" si="1"/>
        <v>1.95</v>
      </c>
      <c r="O12" s="150">
        <f t="shared" ref="O12" si="7">AVERAGE(N12,N13,N14)</f>
        <v>1.9733333333333334</v>
      </c>
      <c r="P12" s="7">
        <v>0.5</v>
      </c>
      <c r="Q12" s="8">
        <v>1</v>
      </c>
      <c r="R12" s="8">
        <v>0.01</v>
      </c>
      <c r="S12" s="8">
        <f t="shared" si="2"/>
        <v>0.51</v>
      </c>
      <c r="T12" s="147">
        <f t="shared" ref="T12" si="8">AVERAGE(S12,S13,S14)</f>
        <v>0.52</v>
      </c>
      <c r="U12" s="143">
        <f t="shared" ref="U12" si="9">J12*O12*T12</f>
        <v>5.1272462222222233</v>
      </c>
      <c r="V12" s="145">
        <f t="shared" ref="V12" si="10">D12/U12</f>
        <v>19.503646921925771</v>
      </c>
    </row>
    <row r="13" spans="3:22" x14ac:dyDescent="0.35">
      <c r="C13" s="153"/>
      <c r="D13" s="137"/>
      <c r="E13" s="19">
        <v>2</v>
      </c>
      <c r="F13" s="3">
        <v>5</v>
      </c>
      <c r="G13" s="4">
        <v>6</v>
      </c>
      <c r="H13" s="2">
        <v>0.01</v>
      </c>
      <c r="I13" s="2">
        <f t="shared" si="0"/>
        <v>5.0599999999999996</v>
      </c>
      <c r="J13" s="125"/>
      <c r="K13" s="12">
        <v>2</v>
      </c>
      <c r="L13" s="13">
        <v>5</v>
      </c>
      <c r="M13" s="11">
        <v>0.01</v>
      </c>
      <c r="N13" s="11">
        <f t="shared" si="1"/>
        <v>2.0499999999999998</v>
      </c>
      <c r="O13" s="126"/>
      <c r="P13" s="3">
        <v>0.5</v>
      </c>
      <c r="Q13" s="4">
        <v>3</v>
      </c>
      <c r="R13" s="2">
        <v>0.01</v>
      </c>
      <c r="S13" s="2">
        <f t="shared" si="2"/>
        <v>0.53</v>
      </c>
      <c r="T13" s="125"/>
      <c r="U13" s="141"/>
      <c r="V13" s="142"/>
    </row>
    <row r="14" spans="3:22" ht="15" thickBot="1" x14ac:dyDescent="0.4">
      <c r="C14" s="154"/>
      <c r="D14" s="140"/>
      <c r="E14" s="20">
        <v>3</v>
      </c>
      <c r="F14" s="5">
        <v>4.9000000000000004</v>
      </c>
      <c r="G14" s="6">
        <v>8</v>
      </c>
      <c r="H14" s="35">
        <v>0.01</v>
      </c>
      <c r="I14" s="35">
        <f t="shared" si="0"/>
        <v>4.9800000000000004</v>
      </c>
      <c r="J14" s="148"/>
      <c r="K14" s="14">
        <v>1.9</v>
      </c>
      <c r="L14" s="15">
        <v>2</v>
      </c>
      <c r="M14" s="36">
        <v>0.01</v>
      </c>
      <c r="N14" s="36">
        <f t="shared" si="1"/>
        <v>1.92</v>
      </c>
      <c r="O14" s="151"/>
      <c r="P14" s="5">
        <v>0.5</v>
      </c>
      <c r="Q14" s="6">
        <v>2</v>
      </c>
      <c r="R14" s="35">
        <v>0.01</v>
      </c>
      <c r="S14" s="35">
        <f t="shared" si="2"/>
        <v>0.52</v>
      </c>
      <c r="T14" s="148"/>
      <c r="U14" s="144"/>
      <c r="V14" s="146"/>
    </row>
    <row r="15" spans="3:22" x14ac:dyDescent="0.35">
      <c r="C15" s="122" t="s">
        <v>17</v>
      </c>
      <c r="D15" s="139">
        <v>62</v>
      </c>
      <c r="E15" s="21">
        <v>1</v>
      </c>
      <c r="F15" s="7">
        <v>6.9</v>
      </c>
      <c r="G15" s="8">
        <v>7</v>
      </c>
      <c r="H15" s="8">
        <v>0.01</v>
      </c>
      <c r="I15" s="8">
        <f t="shared" si="0"/>
        <v>6.9700000000000006</v>
      </c>
      <c r="J15" s="147">
        <f>AVERAGE(I15,I16,I17)</f>
        <v>7</v>
      </c>
      <c r="K15" s="16">
        <v>3.9</v>
      </c>
      <c r="L15" s="17">
        <v>9</v>
      </c>
      <c r="M15" s="17">
        <v>0.01</v>
      </c>
      <c r="N15" s="17">
        <f t="shared" si="1"/>
        <v>3.9899999999999998</v>
      </c>
      <c r="O15" s="150">
        <f t="shared" ref="O15" si="11">AVERAGE(N15,N16,N17)</f>
        <v>4</v>
      </c>
      <c r="P15" s="7">
        <v>0.9</v>
      </c>
      <c r="Q15" s="8">
        <v>7</v>
      </c>
      <c r="R15" s="8">
        <v>0.01</v>
      </c>
      <c r="S15" s="8">
        <f t="shared" si="2"/>
        <v>0.97</v>
      </c>
      <c r="T15" s="147">
        <f t="shared" ref="T15" si="12">AVERAGE(S15,S16,S17)</f>
        <v>0.98</v>
      </c>
      <c r="U15" s="143">
        <f t="shared" ref="U15" si="13">J15*O15*T15</f>
        <v>27.439999999999998</v>
      </c>
      <c r="V15" s="145">
        <f t="shared" ref="V15" si="14">D15/U15</f>
        <v>2.2594752186588924</v>
      </c>
    </row>
    <row r="16" spans="3:22" x14ac:dyDescent="0.35">
      <c r="C16" s="123"/>
      <c r="D16" s="137"/>
      <c r="E16" s="19">
        <v>2</v>
      </c>
      <c r="F16" s="3">
        <v>7</v>
      </c>
      <c r="G16" s="4">
        <v>5</v>
      </c>
      <c r="H16" s="2">
        <v>0.01</v>
      </c>
      <c r="I16" s="2">
        <f t="shared" si="0"/>
        <v>7.05</v>
      </c>
      <c r="J16" s="125"/>
      <c r="K16" s="12">
        <v>4</v>
      </c>
      <c r="L16" s="13">
        <v>2</v>
      </c>
      <c r="M16" s="11">
        <v>0.01</v>
      </c>
      <c r="N16" s="11">
        <f t="shared" si="1"/>
        <v>4.0199999999999996</v>
      </c>
      <c r="O16" s="126"/>
      <c r="P16" s="3">
        <v>0.9</v>
      </c>
      <c r="Q16" s="4">
        <v>9</v>
      </c>
      <c r="R16" s="2">
        <v>0.01</v>
      </c>
      <c r="S16" s="2">
        <f t="shared" si="2"/>
        <v>0.99</v>
      </c>
      <c r="T16" s="125"/>
      <c r="U16" s="141"/>
      <c r="V16" s="142"/>
    </row>
    <row r="17" spans="3:22" ht="15" thickBot="1" x14ac:dyDescent="0.4">
      <c r="C17" s="124"/>
      <c r="D17" s="140"/>
      <c r="E17" s="20">
        <v>3</v>
      </c>
      <c r="F17" s="5">
        <v>6.9</v>
      </c>
      <c r="G17" s="6">
        <v>8</v>
      </c>
      <c r="H17" s="35">
        <v>0.01</v>
      </c>
      <c r="I17" s="35">
        <f t="shared" si="0"/>
        <v>6.98</v>
      </c>
      <c r="J17" s="148"/>
      <c r="K17" s="14">
        <v>3.9</v>
      </c>
      <c r="L17" s="15">
        <v>9</v>
      </c>
      <c r="M17" s="36">
        <v>0.01</v>
      </c>
      <c r="N17" s="36">
        <f t="shared" si="1"/>
        <v>3.9899999999999998</v>
      </c>
      <c r="O17" s="151"/>
      <c r="P17" s="5">
        <v>0.9</v>
      </c>
      <c r="Q17" s="6">
        <v>8</v>
      </c>
      <c r="R17" s="35">
        <v>0.01</v>
      </c>
      <c r="S17" s="35">
        <f t="shared" si="2"/>
        <v>0.98</v>
      </c>
      <c r="T17" s="148"/>
      <c r="U17" s="144"/>
      <c r="V17" s="146"/>
    </row>
    <row r="18" spans="3:22" x14ac:dyDescent="0.35">
      <c r="C18" s="152" t="s">
        <v>8</v>
      </c>
      <c r="D18" s="139">
        <v>39</v>
      </c>
      <c r="E18" s="21">
        <v>1</v>
      </c>
      <c r="F18" s="7">
        <v>4.9000000000000004</v>
      </c>
      <c r="G18" s="8">
        <v>5</v>
      </c>
      <c r="H18" s="8">
        <v>0.01</v>
      </c>
      <c r="I18" s="8">
        <f t="shared" si="0"/>
        <v>4.95</v>
      </c>
      <c r="J18" s="147">
        <f>AVERAGE(I18,I19,I20)</f>
        <v>4.99</v>
      </c>
      <c r="K18" s="16">
        <v>1.9</v>
      </c>
      <c r="L18" s="17">
        <v>2</v>
      </c>
      <c r="M18" s="17">
        <v>0.01</v>
      </c>
      <c r="N18" s="17">
        <f t="shared" si="1"/>
        <v>1.92</v>
      </c>
      <c r="O18" s="150">
        <f t="shared" ref="O18" si="15">AVERAGE(N18,N19,N20)</f>
        <v>1.9766666666666666</v>
      </c>
      <c r="P18" s="7">
        <v>0.4</v>
      </c>
      <c r="Q18" s="8">
        <v>3</v>
      </c>
      <c r="R18" s="8">
        <v>0.01</v>
      </c>
      <c r="S18" s="8">
        <f t="shared" si="2"/>
        <v>0.43000000000000005</v>
      </c>
      <c r="T18" s="147">
        <f t="shared" ref="T18" si="16">AVERAGE(S18,S19,S20)</f>
        <v>0.44</v>
      </c>
      <c r="U18" s="143">
        <f t="shared" ref="U18" si="17">J18*O18*T18</f>
        <v>4.3399693333333333</v>
      </c>
      <c r="V18" s="145">
        <f t="shared" ref="V18" si="18">D18/U18</f>
        <v>8.9862386124387363</v>
      </c>
    </row>
    <row r="19" spans="3:22" x14ac:dyDescent="0.35">
      <c r="C19" s="153"/>
      <c r="D19" s="137"/>
      <c r="E19" s="19">
        <v>2</v>
      </c>
      <c r="F19" s="3">
        <v>5</v>
      </c>
      <c r="G19" s="4">
        <v>4</v>
      </c>
      <c r="H19" s="2">
        <v>0.01</v>
      </c>
      <c r="I19" s="2">
        <f t="shared" si="0"/>
        <v>5.04</v>
      </c>
      <c r="J19" s="125"/>
      <c r="K19" s="12">
        <v>2</v>
      </c>
      <c r="L19" s="13">
        <v>2</v>
      </c>
      <c r="M19" s="11">
        <v>0.01</v>
      </c>
      <c r="N19" s="11">
        <f t="shared" si="1"/>
        <v>2.02</v>
      </c>
      <c r="O19" s="126"/>
      <c r="P19" s="3">
        <v>0.4</v>
      </c>
      <c r="Q19" s="4">
        <v>5</v>
      </c>
      <c r="R19" s="2">
        <v>0.01</v>
      </c>
      <c r="S19" s="2">
        <f t="shared" si="2"/>
        <v>0.45</v>
      </c>
      <c r="T19" s="125"/>
      <c r="U19" s="141"/>
      <c r="V19" s="142"/>
    </row>
    <row r="20" spans="3:22" ht="15" thickBot="1" x14ac:dyDescent="0.4">
      <c r="C20" s="154"/>
      <c r="D20" s="140"/>
      <c r="E20" s="20">
        <v>3</v>
      </c>
      <c r="F20" s="5">
        <v>4.9000000000000004</v>
      </c>
      <c r="G20" s="6">
        <v>8</v>
      </c>
      <c r="H20" s="35">
        <v>0.01</v>
      </c>
      <c r="I20" s="35">
        <f t="shared" si="0"/>
        <v>4.9800000000000004</v>
      </c>
      <c r="J20" s="148"/>
      <c r="K20" s="14">
        <v>1.9</v>
      </c>
      <c r="L20" s="15">
        <v>9</v>
      </c>
      <c r="M20" s="36">
        <v>0.01</v>
      </c>
      <c r="N20" s="36">
        <f t="shared" si="1"/>
        <v>1.99</v>
      </c>
      <c r="O20" s="151"/>
      <c r="P20" s="5">
        <v>0.4</v>
      </c>
      <c r="Q20" s="6">
        <v>4</v>
      </c>
      <c r="R20" s="35">
        <v>0.01</v>
      </c>
      <c r="S20" s="35">
        <f t="shared" si="2"/>
        <v>0.44</v>
      </c>
      <c r="T20" s="148"/>
      <c r="U20" s="144"/>
      <c r="V20" s="146"/>
    </row>
  </sheetData>
  <sheetProtection algorithmName="SHA-512" hashValue="qtocm0BvQxg2fdxDIT44XlyECi5+7VvH8URYfB0JGlld3UD9r6m/P5WRY5G5/Hkwmjjzzufv/YBVe0xNgXbeyA==" saltValue="cFhs6da49w9SEeEbzMktQg==" spinCount="100000" sheet="1" objects="1" scenarios="1"/>
  <mergeCells count="44">
    <mergeCell ref="C2:M2"/>
    <mergeCell ref="O9:O11"/>
    <mergeCell ref="O12:O14"/>
    <mergeCell ref="O15:O17"/>
    <mergeCell ref="O18:O20"/>
    <mergeCell ref="J9:J11"/>
    <mergeCell ref="J12:J14"/>
    <mergeCell ref="J15:J17"/>
    <mergeCell ref="J18:J20"/>
    <mergeCell ref="C18:C20"/>
    <mergeCell ref="F4:J4"/>
    <mergeCell ref="K4:O4"/>
    <mergeCell ref="D18:D20"/>
    <mergeCell ref="C6:C8"/>
    <mergeCell ref="C9:C11"/>
    <mergeCell ref="C12:C14"/>
    <mergeCell ref="T18:T20"/>
    <mergeCell ref="U12:U14"/>
    <mergeCell ref="V12:V14"/>
    <mergeCell ref="U15:U17"/>
    <mergeCell ref="V15:V17"/>
    <mergeCell ref="V18:V20"/>
    <mergeCell ref="U18:U20"/>
    <mergeCell ref="U9:U11"/>
    <mergeCell ref="V9:V11"/>
    <mergeCell ref="T9:T11"/>
    <mergeCell ref="T12:T14"/>
    <mergeCell ref="T15:T17"/>
    <mergeCell ref="U4:U5"/>
    <mergeCell ref="V4:V5"/>
    <mergeCell ref="C15:C17"/>
    <mergeCell ref="J6:J8"/>
    <mergeCell ref="O6:O8"/>
    <mergeCell ref="T6:T8"/>
    <mergeCell ref="C4:C5"/>
    <mergeCell ref="D4:D5"/>
    <mergeCell ref="E4:E5"/>
    <mergeCell ref="P4:T4"/>
    <mergeCell ref="D6:D8"/>
    <mergeCell ref="D9:D11"/>
    <mergeCell ref="D12:D14"/>
    <mergeCell ref="D15:D17"/>
    <mergeCell ref="U6:U8"/>
    <mergeCell ref="V6:V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9A007-4A63-4E48-B3E6-53752C4822E3}">
  <sheetPr codeName="Sheet3"/>
  <dimension ref="B3:L13"/>
  <sheetViews>
    <sheetView workbookViewId="0">
      <selection activeCell="O7" sqref="O7"/>
    </sheetView>
  </sheetViews>
  <sheetFormatPr defaultRowHeight="14.5" x14ac:dyDescent="0.35"/>
  <sheetData>
    <row r="3" spans="2:12" ht="15" thickBot="1" x14ac:dyDescent="0.4"/>
    <row r="4" spans="2:12" x14ac:dyDescent="0.35">
      <c r="B4" s="108" t="s">
        <v>21</v>
      </c>
      <c r="C4" s="168" t="s">
        <v>28</v>
      </c>
      <c r="D4" s="169"/>
      <c r="E4" s="169"/>
      <c r="F4" s="169"/>
      <c r="G4" s="169"/>
      <c r="H4" s="169"/>
      <c r="I4" s="169"/>
      <c r="J4" s="169"/>
      <c r="K4" s="169"/>
      <c r="L4" s="170"/>
    </row>
    <row r="5" spans="2:12" x14ac:dyDescent="0.35">
      <c r="B5" s="111" t="s">
        <v>22</v>
      </c>
      <c r="C5" s="171" t="s">
        <v>29</v>
      </c>
      <c r="D5" s="172"/>
      <c r="E5" s="172"/>
      <c r="F5" s="172"/>
      <c r="G5" s="172"/>
      <c r="H5" s="172"/>
      <c r="I5" s="172"/>
      <c r="J5" s="172"/>
      <c r="K5" s="172"/>
      <c r="L5" s="173"/>
    </row>
    <row r="6" spans="2:12" x14ac:dyDescent="0.35">
      <c r="B6" s="160" t="s">
        <v>23</v>
      </c>
      <c r="C6" s="162" t="s">
        <v>30</v>
      </c>
      <c r="D6" s="163"/>
      <c r="E6" s="163"/>
      <c r="F6" s="163"/>
      <c r="G6" s="163"/>
      <c r="H6" s="163"/>
      <c r="I6" s="163"/>
      <c r="J6" s="163"/>
      <c r="K6" s="163"/>
      <c r="L6" s="164"/>
    </row>
    <row r="7" spans="2:12" x14ac:dyDescent="0.35">
      <c r="B7" s="161"/>
      <c r="C7" s="165"/>
      <c r="D7" s="166"/>
      <c r="E7" s="166"/>
      <c r="F7" s="166"/>
      <c r="G7" s="166"/>
      <c r="H7" s="166"/>
      <c r="I7" s="166"/>
      <c r="J7" s="166"/>
      <c r="K7" s="166"/>
      <c r="L7" s="167"/>
    </row>
    <row r="8" spans="2:12" x14ac:dyDescent="0.35">
      <c r="B8" s="111" t="s">
        <v>24</v>
      </c>
      <c r="C8" s="171" t="s">
        <v>31</v>
      </c>
      <c r="D8" s="172"/>
      <c r="E8" s="172"/>
      <c r="F8" s="172"/>
      <c r="G8" s="172"/>
      <c r="H8" s="172"/>
      <c r="I8" s="172"/>
      <c r="J8" s="172"/>
      <c r="K8" s="172"/>
      <c r="L8" s="173"/>
    </row>
    <row r="9" spans="2:12" x14ac:dyDescent="0.35">
      <c r="B9" s="109" t="s">
        <v>25</v>
      </c>
      <c r="C9" s="174" t="s">
        <v>33</v>
      </c>
      <c r="D9" s="175"/>
      <c r="E9" s="175"/>
      <c r="F9" s="175"/>
      <c r="G9" s="175"/>
      <c r="H9" s="175"/>
      <c r="I9" s="175"/>
      <c r="J9" s="175"/>
      <c r="K9" s="175"/>
      <c r="L9" s="176"/>
    </row>
    <row r="10" spans="2:12" x14ac:dyDescent="0.35">
      <c r="B10" s="111" t="s">
        <v>26</v>
      </c>
      <c r="C10" s="171" t="s">
        <v>32</v>
      </c>
      <c r="D10" s="172"/>
      <c r="E10" s="172"/>
      <c r="F10" s="172"/>
      <c r="G10" s="172"/>
      <c r="H10" s="172"/>
      <c r="I10" s="172"/>
      <c r="J10" s="172"/>
      <c r="K10" s="172"/>
      <c r="L10" s="173"/>
    </row>
    <row r="11" spans="2:12" ht="15" thickBot="1" x14ac:dyDescent="0.4">
      <c r="B11" s="110" t="s">
        <v>27</v>
      </c>
      <c r="C11" s="157" t="s">
        <v>34</v>
      </c>
      <c r="D11" s="158"/>
      <c r="E11" s="158"/>
      <c r="F11" s="158"/>
      <c r="G11" s="158"/>
      <c r="H11" s="158"/>
      <c r="I11" s="158"/>
      <c r="J11" s="158"/>
      <c r="K11" s="158"/>
      <c r="L11" s="159"/>
    </row>
    <row r="12" spans="2:12" x14ac:dyDescent="0.35">
      <c r="B12" s="57"/>
    </row>
    <row r="13" spans="2:12" x14ac:dyDescent="0.35">
      <c r="B13" s="57"/>
    </row>
  </sheetData>
  <sheetProtection algorithmName="SHA-512" hashValue="Ztma4LPYFaDTEeP6sHNwv7TE0qDdH3Im22VWrJ4sACXXFw2ipI3KmaLKM3ke3D4TbpGU2WexL9y+1dcqdZVVJA==" saltValue="njQ2CD3MzW2aBAysifRnqw==" spinCount="100000" sheet="1" objects="1" scenarios="1"/>
  <mergeCells count="8">
    <mergeCell ref="C11:L11"/>
    <mergeCell ref="B6:B7"/>
    <mergeCell ref="C6:L7"/>
    <mergeCell ref="C4:L4"/>
    <mergeCell ref="C5:L5"/>
    <mergeCell ref="C8:L8"/>
    <mergeCell ref="C9:L9"/>
    <mergeCell ref="C10:L10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A626A-A078-4C67-931E-45D32BF07DB1}">
  <sheetPr codeName="Sheet1"/>
  <dimension ref="B2:M40"/>
  <sheetViews>
    <sheetView workbookViewId="0">
      <selection activeCell="B3" sqref="B3:C3"/>
    </sheetView>
  </sheetViews>
  <sheetFormatPr defaultRowHeight="14.5" x14ac:dyDescent="0.35"/>
  <cols>
    <col min="2" max="2" width="11.26953125" customWidth="1"/>
  </cols>
  <sheetData>
    <row r="2" spans="2:10" ht="13" customHeight="1" x14ac:dyDescent="0.35"/>
    <row r="3" spans="2:10" ht="22" customHeight="1" x14ac:dyDescent="0.35">
      <c r="B3" s="177" t="s">
        <v>35</v>
      </c>
      <c r="C3" s="178"/>
      <c r="H3" s="89">
        <v>1</v>
      </c>
    </row>
    <row r="4" spans="2:10" x14ac:dyDescent="0.35">
      <c r="B4" s="179"/>
      <c r="C4" s="180"/>
    </row>
    <row r="5" spans="2:10" x14ac:dyDescent="0.35">
      <c r="B5" s="181"/>
      <c r="C5" s="182"/>
    </row>
    <row r="6" spans="2:10" x14ac:dyDescent="0.35">
      <c r="B6" s="75" t="s">
        <v>10</v>
      </c>
      <c r="C6" s="107">
        <f>VLOOKUP(H3,E34:L38,3,0)</f>
        <v>5</v>
      </c>
    </row>
    <row r="7" spans="2:10" x14ac:dyDescent="0.35">
      <c r="B7" s="76" t="s">
        <v>11</v>
      </c>
      <c r="C7" s="107">
        <f>VLOOKUP(H3,E34:L38,4,0)</f>
        <v>4.9799999999999995</v>
      </c>
    </row>
    <row r="8" spans="2:10" x14ac:dyDescent="0.35">
      <c r="B8" s="75" t="s">
        <v>12</v>
      </c>
      <c r="C8" s="107">
        <f>VLOOKUP(H3,E34:L38,5,0)</f>
        <v>2.6966666666666668</v>
      </c>
    </row>
    <row r="9" spans="2:10" ht="15.5" x14ac:dyDescent="0.35">
      <c r="B9" s="77" t="s">
        <v>20</v>
      </c>
      <c r="C9" s="107">
        <f>VLOOKUP(H3,E34:L38,6,0)</f>
        <v>134.25</v>
      </c>
    </row>
    <row r="10" spans="2:10" ht="15.5" x14ac:dyDescent="0.35">
      <c r="B10" s="73" t="s">
        <v>9</v>
      </c>
      <c r="C10" s="107">
        <f>VLOOKUP(H3,E34:L38,7,0)</f>
        <v>1202</v>
      </c>
    </row>
    <row r="11" spans="2:10" ht="33" x14ac:dyDescent="0.35">
      <c r="B11" s="73" t="s">
        <v>16</v>
      </c>
      <c r="C11" s="107">
        <f>VLOOKUP(H3,E34:L38,8,0)</f>
        <v>8.9534960628677052</v>
      </c>
    </row>
    <row r="16" spans="2:10" ht="15.5" x14ac:dyDescent="0.35">
      <c r="C16" s="85"/>
      <c r="D16" s="71"/>
      <c r="E16" s="71"/>
      <c r="F16" s="56"/>
      <c r="G16" s="71"/>
      <c r="H16" s="72"/>
      <c r="I16" s="55"/>
      <c r="J16" s="55"/>
    </row>
    <row r="17" spans="3:13" ht="15.5" x14ac:dyDescent="0.35">
      <c r="C17" s="74"/>
      <c r="D17" s="56"/>
      <c r="E17" s="86"/>
      <c r="F17" s="86"/>
      <c r="G17" s="86"/>
      <c r="H17" s="87"/>
      <c r="I17" s="74"/>
      <c r="J17" s="86"/>
    </row>
    <row r="18" spans="3:13" x14ac:dyDescent="0.35">
      <c r="C18" s="74"/>
      <c r="D18" s="56"/>
      <c r="E18" s="86"/>
      <c r="F18" s="86"/>
      <c r="G18" s="86"/>
      <c r="H18" s="86"/>
      <c r="I18" s="74"/>
      <c r="J18" s="86"/>
    </row>
    <row r="19" spans="3:13" x14ac:dyDescent="0.35">
      <c r="C19" s="74"/>
      <c r="D19" s="56"/>
      <c r="E19" s="86"/>
      <c r="F19" s="86"/>
      <c r="G19" s="86"/>
      <c r="H19" s="86"/>
      <c r="I19" s="74"/>
      <c r="J19" s="86"/>
    </row>
    <row r="20" spans="3:13" x14ac:dyDescent="0.35">
      <c r="C20" s="74"/>
      <c r="D20" s="88"/>
      <c r="E20" s="86"/>
      <c r="F20" s="86"/>
      <c r="G20" s="86"/>
      <c r="H20" s="86"/>
      <c r="I20" s="74"/>
      <c r="J20" s="86"/>
    </row>
    <row r="21" spans="3:13" x14ac:dyDescent="0.35">
      <c r="C21" s="74"/>
      <c r="D21" s="56"/>
      <c r="E21" s="86"/>
      <c r="F21" s="86"/>
      <c r="G21" s="86"/>
      <c r="H21" s="86"/>
      <c r="I21" s="74"/>
      <c r="J21" s="86"/>
    </row>
    <row r="30" spans="3:13" x14ac:dyDescent="0.35">
      <c r="E30" s="89"/>
      <c r="F30" s="89"/>
      <c r="G30" s="89"/>
      <c r="H30" s="89"/>
      <c r="I30" s="89"/>
      <c r="J30" s="89"/>
      <c r="K30" s="89"/>
      <c r="L30" s="89"/>
      <c r="M30" s="89"/>
    </row>
    <row r="31" spans="3:13" x14ac:dyDescent="0.35">
      <c r="E31" s="89"/>
      <c r="F31" s="89"/>
      <c r="G31" s="89"/>
      <c r="H31" s="89"/>
      <c r="I31" s="89"/>
      <c r="J31" s="89"/>
      <c r="K31" s="89"/>
      <c r="L31" s="89"/>
      <c r="M31" s="89"/>
    </row>
    <row r="32" spans="3:13" x14ac:dyDescent="0.35">
      <c r="E32" s="89"/>
      <c r="F32" s="89"/>
      <c r="G32" s="89"/>
      <c r="H32" s="89"/>
      <c r="I32" s="89"/>
      <c r="J32" s="89"/>
      <c r="K32" s="89"/>
      <c r="L32" s="89"/>
      <c r="M32" s="89"/>
    </row>
    <row r="33" spans="5:13" ht="33" x14ac:dyDescent="0.35">
      <c r="E33" s="90" t="s">
        <v>0</v>
      </c>
      <c r="F33" s="91" t="s">
        <v>19</v>
      </c>
      <c r="G33" s="91" t="s">
        <v>10</v>
      </c>
      <c r="H33" s="92" t="s">
        <v>11</v>
      </c>
      <c r="I33" s="91" t="s">
        <v>12</v>
      </c>
      <c r="J33" s="93" t="s">
        <v>20</v>
      </c>
      <c r="K33" s="94" t="s">
        <v>9</v>
      </c>
      <c r="L33" s="94" t="s">
        <v>36</v>
      </c>
      <c r="M33" s="89"/>
    </row>
    <row r="34" spans="5:13" ht="15.5" x14ac:dyDescent="0.35">
      <c r="E34" s="95">
        <v>1</v>
      </c>
      <c r="F34" s="92" t="s">
        <v>5</v>
      </c>
      <c r="G34" s="96">
        <v>5</v>
      </c>
      <c r="H34" s="96">
        <v>4.9799999999999995</v>
      </c>
      <c r="I34" s="96">
        <v>2.6966666666666668</v>
      </c>
      <c r="J34" s="97">
        <v>134.25</v>
      </c>
      <c r="K34" s="95">
        <v>1202</v>
      </c>
      <c r="L34" s="96">
        <v>8.9534960628677052</v>
      </c>
      <c r="M34" s="89"/>
    </row>
    <row r="35" spans="5:13" x14ac:dyDescent="0.35">
      <c r="E35" s="95">
        <v>2</v>
      </c>
      <c r="F35" s="92" t="s">
        <v>6</v>
      </c>
      <c r="G35" s="96">
        <v>10.036666666666667</v>
      </c>
      <c r="H35" s="96">
        <v>3.9933333333333336</v>
      </c>
      <c r="I35" s="96">
        <v>2.08</v>
      </c>
      <c r="J35" s="96">
        <v>83.37</v>
      </c>
      <c r="K35" s="95">
        <v>598</v>
      </c>
      <c r="L35" s="96">
        <v>7.1731974413239374</v>
      </c>
      <c r="M35" s="89"/>
    </row>
    <row r="36" spans="5:13" x14ac:dyDescent="0.35">
      <c r="E36" s="95">
        <v>3</v>
      </c>
      <c r="F36" s="92" t="s">
        <v>7</v>
      </c>
      <c r="G36" s="96">
        <v>4.996666666666667</v>
      </c>
      <c r="H36" s="96">
        <v>1.9733333333333334</v>
      </c>
      <c r="I36" s="96">
        <v>0.52</v>
      </c>
      <c r="J36" s="96">
        <v>5.13</v>
      </c>
      <c r="K36" s="95">
        <v>100</v>
      </c>
      <c r="L36" s="96">
        <v>19.503646921925771</v>
      </c>
      <c r="M36" s="89"/>
    </row>
    <row r="37" spans="5:13" ht="43.5" x14ac:dyDescent="0.35">
      <c r="E37" s="95">
        <v>4</v>
      </c>
      <c r="F37" s="98" t="s">
        <v>17</v>
      </c>
      <c r="G37" s="96">
        <v>7</v>
      </c>
      <c r="H37" s="96">
        <v>4</v>
      </c>
      <c r="I37" s="96">
        <v>0.98</v>
      </c>
      <c r="J37" s="96">
        <v>27.44</v>
      </c>
      <c r="K37" s="95">
        <v>62</v>
      </c>
      <c r="L37" s="96">
        <v>2.2594752186588924</v>
      </c>
      <c r="M37" s="89"/>
    </row>
    <row r="38" spans="5:13" x14ac:dyDescent="0.35">
      <c r="E38" s="95">
        <v>5</v>
      </c>
      <c r="F38" s="92" t="s">
        <v>8</v>
      </c>
      <c r="G38" s="96">
        <v>4.99</v>
      </c>
      <c r="H38" s="96">
        <v>1.9766666666666666</v>
      </c>
      <c r="I38" s="96">
        <v>0.44</v>
      </c>
      <c r="J38" s="96">
        <v>4.34</v>
      </c>
      <c r="K38" s="95">
        <v>39</v>
      </c>
      <c r="L38" s="99">
        <v>8.9862386124387363</v>
      </c>
      <c r="M38" s="89"/>
    </row>
    <row r="39" spans="5:13" x14ac:dyDescent="0.35">
      <c r="E39" s="89"/>
      <c r="F39" s="89"/>
      <c r="G39" s="89"/>
      <c r="H39" s="89"/>
      <c r="I39" s="89"/>
      <c r="J39" s="89"/>
      <c r="K39" s="89"/>
      <c r="L39" s="89"/>
      <c r="M39" s="89"/>
    </row>
    <row r="40" spans="5:13" x14ac:dyDescent="0.35">
      <c r="E40" s="89"/>
      <c r="F40" s="89"/>
      <c r="G40" s="89"/>
      <c r="H40" s="89"/>
      <c r="I40" s="89"/>
      <c r="J40" s="89"/>
      <c r="K40" s="89"/>
      <c r="L40" s="89"/>
      <c r="M40" s="89"/>
    </row>
  </sheetData>
  <mergeCells count="2">
    <mergeCell ref="B3:C3"/>
    <mergeCell ref="B4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1</xdr:col>
                    <xdr:colOff>12700</xdr:colOff>
                    <xdr:row>3</xdr:row>
                    <xdr:rowOff>19050</xdr:rowOff>
                  </from>
                  <to>
                    <xdr:col>3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5EB19-3D9E-4F2D-B7CB-68A7E3FD91B1}">
  <sheetPr codeName="Sheet2"/>
  <dimension ref="A1:F19"/>
  <sheetViews>
    <sheetView workbookViewId="0">
      <selection activeCell="F16" sqref="F16"/>
    </sheetView>
  </sheetViews>
  <sheetFormatPr defaultRowHeight="14.5" x14ac:dyDescent="0.35"/>
  <cols>
    <col min="3" max="3" width="10.08984375" customWidth="1"/>
    <col min="4" max="4" width="11" customWidth="1"/>
    <col min="5" max="5" width="10.36328125" customWidth="1"/>
    <col min="6" max="6" width="10.54296875" customWidth="1"/>
  </cols>
  <sheetData>
    <row r="1" spans="1:6" x14ac:dyDescent="0.35">
      <c r="A1" s="38"/>
      <c r="B1" s="39"/>
      <c r="C1" s="39"/>
      <c r="D1" s="39"/>
    </row>
    <row r="2" spans="1:6" x14ac:dyDescent="0.35">
      <c r="A2" s="38"/>
      <c r="B2" s="39"/>
      <c r="C2" s="39"/>
      <c r="D2" s="39"/>
    </row>
    <row r="3" spans="1:6" ht="15" thickBot="1" x14ac:dyDescent="0.4">
      <c r="A3" s="38"/>
      <c r="B3" s="39"/>
      <c r="C3" s="39"/>
      <c r="D3" s="39"/>
    </row>
    <row r="4" spans="1:6" ht="15" thickBot="1" x14ac:dyDescent="0.4">
      <c r="A4" s="38"/>
      <c r="B4" s="39"/>
      <c r="C4" s="45" t="s">
        <v>19</v>
      </c>
      <c r="D4" s="46" t="s">
        <v>10</v>
      </c>
      <c r="E4" s="47" t="s">
        <v>11</v>
      </c>
      <c r="F4" s="48" t="s">
        <v>12</v>
      </c>
    </row>
    <row r="5" spans="1:6" ht="15" thickTop="1" x14ac:dyDescent="0.35">
      <c r="A5" s="38"/>
      <c r="B5" s="39"/>
      <c r="C5" s="41" t="s">
        <v>5</v>
      </c>
      <c r="D5" s="49">
        <v>9.9966666666666679</v>
      </c>
      <c r="E5" s="49">
        <v>4.9799999999999995</v>
      </c>
      <c r="F5" s="50">
        <v>2.6966666666666668</v>
      </c>
    </row>
    <row r="6" spans="1:6" x14ac:dyDescent="0.35">
      <c r="A6" s="38"/>
      <c r="B6" s="39"/>
      <c r="C6" s="42" t="s">
        <v>6</v>
      </c>
      <c r="D6" s="51">
        <v>10.036666666666667</v>
      </c>
      <c r="E6" s="51">
        <v>3.9933333333333336</v>
      </c>
      <c r="F6" s="52">
        <v>2.08</v>
      </c>
    </row>
    <row r="7" spans="1:6" x14ac:dyDescent="0.35">
      <c r="A7" s="38"/>
      <c r="B7" s="39"/>
      <c r="C7" s="42" t="s">
        <v>7</v>
      </c>
      <c r="D7" s="51">
        <v>4.996666666666667</v>
      </c>
      <c r="E7" s="51">
        <v>1.9733333333333334</v>
      </c>
      <c r="F7" s="52">
        <v>0.52</v>
      </c>
    </row>
    <row r="8" spans="1:6" ht="29" x14ac:dyDescent="0.35">
      <c r="A8" s="38"/>
      <c r="B8" s="39"/>
      <c r="C8" s="43" t="s">
        <v>17</v>
      </c>
      <c r="D8" s="51">
        <v>7</v>
      </c>
      <c r="E8" s="51">
        <v>4</v>
      </c>
      <c r="F8" s="52">
        <v>0.98</v>
      </c>
    </row>
    <row r="9" spans="1:6" ht="15" thickBot="1" x14ac:dyDescent="0.4">
      <c r="A9" s="38"/>
      <c r="B9" s="39"/>
      <c r="C9" s="44" t="s">
        <v>8</v>
      </c>
      <c r="D9" s="53">
        <v>4.99</v>
      </c>
      <c r="E9" s="53">
        <v>1.9766666666666666</v>
      </c>
      <c r="F9" s="54">
        <v>0.44</v>
      </c>
    </row>
    <row r="10" spans="1:6" x14ac:dyDescent="0.35">
      <c r="A10" s="40"/>
      <c r="B10" s="39"/>
      <c r="C10" s="38"/>
      <c r="D10" s="39"/>
      <c r="E10" s="39"/>
      <c r="F10" s="39"/>
    </row>
    <row r="11" spans="1:6" x14ac:dyDescent="0.35">
      <c r="A11" s="40"/>
      <c r="B11" s="39"/>
      <c r="C11" s="38"/>
      <c r="D11" s="39"/>
      <c r="E11" s="39"/>
      <c r="F11" s="39"/>
    </row>
    <row r="12" spans="1:6" x14ac:dyDescent="0.35">
      <c r="A12" s="40"/>
      <c r="B12" s="39"/>
      <c r="C12" s="38"/>
      <c r="D12" s="39"/>
      <c r="E12" s="39"/>
      <c r="F12" s="39"/>
    </row>
    <row r="13" spans="1:6" x14ac:dyDescent="0.35">
      <c r="A13" s="38"/>
      <c r="B13" s="39"/>
      <c r="C13" s="38"/>
      <c r="D13" s="39"/>
      <c r="E13" s="39"/>
      <c r="F13" s="39"/>
    </row>
    <row r="14" spans="1:6" ht="14.5" customHeight="1" x14ac:dyDescent="0.35">
      <c r="A14" s="38"/>
      <c r="B14" s="39"/>
      <c r="C14" s="40"/>
      <c r="D14" s="39"/>
      <c r="E14" s="39"/>
      <c r="F14" s="39"/>
    </row>
    <row r="15" spans="1:6" x14ac:dyDescent="0.35">
      <c r="A15" s="38"/>
      <c r="B15" s="39"/>
      <c r="C15" s="40"/>
      <c r="D15" s="39"/>
      <c r="E15" s="39"/>
      <c r="F15" s="39"/>
    </row>
    <row r="16" spans="1:6" x14ac:dyDescent="0.35">
      <c r="C16" s="40"/>
      <c r="D16" s="39"/>
      <c r="E16" s="39"/>
      <c r="F16" s="39"/>
    </row>
    <row r="17" spans="3:6" x14ac:dyDescent="0.35">
      <c r="C17" s="38"/>
      <c r="D17" s="39"/>
      <c r="E17" s="39"/>
      <c r="F17" s="39"/>
    </row>
    <row r="18" spans="3:6" x14ac:dyDescent="0.35">
      <c r="C18" s="38"/>
      <c r="D18" s="39"/>
      <c r="E18" s="39"/>
      <c r="F18" s="39"/>
    </row>
    <row r="19" spans="3:6" x14ac:dyDescent="0.35">
      <c r="C19" s="38"/>
      <c r="D19" s="39"/>
      <c r="E19" s="39"/>
      <c r="F19" s="39"/>
    </row>
  </sheetData>
  <sheetProtection algorithmName="SHA-512" hashValue="Y0zLqJoy+3wzu6ysimPXDEJfkUGWnkVvOwzhkLMoc/Fe+XfQSzSuplvvb5d/hwpWyE0J3KgmVXEI8Q83AU9/lQ==" saltValue="B3A5FZT/2LMl/32y5UvBBg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11059-3A7F-4750-B711-5E018DF63A35}">
  <dimension ref="B4:C10"/>
  <sheetViews>
    <sheetView workbookViewId="0">
      <selection activeCell="C8" sqref="C8"/>
    </sheetView>
  </sheetViews>
  <sheetFormatPr defaultRowHeight="14.5" x14ac:dyDescent="0.35"/>
  <cols>
    <col min="2" max="2" width="9.90625" customWidth="1"/>
  </cols>
  <sheetData>
    <row r="4" spans="2:3" ht="15.5" x14ac:dyDescent="0.35">
      <c r="B4" s="61" t="s">
        <v>18</v>
      </c>
      <c r="C4" s="62" t="s">
        <v>9</v>
      </c>
    </row>
    <row r="5" spans="2:3" x14ac:dyDescent="0.35">
      <c r="B5" s="58" t="s">
        <v>5</v>
      </c>
      <c r="C5" s="104">
        <v>1202</v>
      </c>
    </row>
    <row r="6" spans="2:3" x14ac:dyDescent="0.35">
      <c r="B6" s="58" t="s">
        <v>6</v>
      </c>
      <c r="C6" s="104">
        <v>598</v>
      </c>
    </row>
    <row r="7" spans="2:3" x14ac:dyDescent="0.35">
      <c r="B7" s="58" t="s">
        <v>7</v>
      </c>
      <c r="C7" s="104">
        <v>100</v>
      </c>
    </row>
    <row r="8" spans="2:3" ht="43.5" x14ac:dyDescent="0.35">
      <c r="B8" s="60" t="s">
        <v>17</v>
      </c>
      <c r="C8" s="104">
        <v>62</v>
      </c>
    </row>
    <row r="9" spans="2:3" ht="15" thickBot="1" x14ac:dyDescent="0.4">
      <c r="B9" s="102" t="s">
        <v>8</v>
      </c>
      <c r="C9" s="105">
        <v>39</v>
      </c>
    </row>
    <row r="10" spans="2:3" ht="15" thickBot="1" x14ac:dyDescent="0.4">
      <c r="B10" s="103" t="s">
        <v>44</v>
      </c>
      <c r="C10" s="106">
        <f>SUM(C5:C9)</f>
        <v>2001</v>
      </c>
    </row>
  </sheetData>
  <sheetProtection algorithmName="SHA-512" hashValue="5ObMLcXzXyJ4pKcZun1N4TnPN2E47pWgh4fVPhIoTGW+oFGb94ycZ6d3jyJCY9kyf+kO/Id+xSEJGV6jy984Rg==" saltValue="Tg/LIFBtCMpHMnPcL05LqQ==" spinCount="100000" sheet="1" objects="1" scenario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2D56-EF25-4423-9553-7654DCC296DA}">
  <sheetPr codeName="Sheet4"/>
  <dimension ref="B2:L16"/>
  <sheetViews>
    <sheetView workbookViewId="0">
      <selection activeCell="H7" sqref="H7"/>
    </sheetView>
  </sheetViews>
  <sheetFormatPr defaultRowHeight="14.5" x14ac:dyDescent="0.35"/>
  <cols>
    <col min="2" max="2" width="4.6328125" customWidth="1"/>
    <col min="3" max="3" width="10.453125" customWidth="1"/>
    <col min="4" max="4" width="10.7265625" customWidth="1"/>
    <col min="5" max="5" width="10.81640625" customWidth="1"/>
    <col min="6" max="6" width="10.1796875" customWidth="1"/>
  </cols>
  <sheetData>
    <row r="2" spans="2:12" ht="33" x14ac:dyDescent="0.35">
      <c r="B2" s="83" t="s">
        <v>0</v>
      </c>
      <c r="C2" s="75" t="s">
        <v>19</v>
      </c>
      <c r="D2" s="75" t="s">
        <v>10</v>
      </c>
      <c r="E2" s="76" t="s">
        <v>11</v>
      </c>
      <c r="F2" s="75" t="s">
        <v>12</v>
      </c>
      <c r="G2" s="77" t="s">
        <v>20</v>
      </c>
      <c r="H2" s="73" t="s">
        <v>9</v>
      </c>
      <c r="I2" s="73" t="s">
        <v>16</v>
      </c>
    </row>
    <row r="3" spans="2:12" ht="15.5" x14ac:dyDescent="0.35">
      <c r="B3" s="84">
        <v>1</v>
      </c>
      <c r="C3" s="78" t="s">
        <v>5</v>
      </c>
      <c r="D3" s="80">
        <v>5</v>
      </c>
      <c r="E3" s="80">
        <v>4.9799999999999995</v>
      </c>
      <c r="F3" s="80">
        <v>2.6966666666666668</v>
      </c>
      <c r="G3" s="81">
        <v>134.25</v>
      </c>
      <c r="H3" s="82">
        <v>1202</v>
      </c>
      <c r="I3" s="80">
        <v>8.9534960628677052</v>
      </c>
      <c r="J3" s="72"/>
      <c r="K3" s="55"/>
      <c r="L3" s="55"/>
    </row>
    <row r="4" spans="2:12" ht="15.5" x14ac:dyDescent="0.35">
      <c r="B4" s="84">
        <v>2</v>
      </c>
      <c r="C4" s="78" t="s">
        <v>6</v>
      </c>
      <c r="D4" s="80">
        <v>10.036666666666667</v>
      </c>
      <c r="E4" s="80">
        <v>3.9933333333333336</v>
      </c>
      <c r="F4" s="80">
        <v>2.08</v>
      </c>
      <c r="G4" s="80">
        <v>83.37</v>
      </c>
      <c r="H4" s="82">
        <v>598</v>
      </c>
      <c r="I4" s="80">
        <v>7.1731974413239374</v>
      </c>
      <c r="J4" s="72"/>
      <c r="K4" s="74"/>
      <c r="L4" s="71"/>
    </row>
    <row r="5" spans="2:12" x14ac:dyDescent="0.35">
      <c r="B5" s="84">
        <v>3</v>
      </c>
      <c r="C5" s="78" t="s">
        <v>7</v>
      </c>
      <c r="D5" s="80">
        <v>4.996666666666667</v>
      </c>
      <c r="E5" s="80">
        <v>1.9733333333333334</v>
      </c>
      <c r="F5" s="80">
        <v>0.52</v>
      </c>
      <c r="G5" s="80">
        <v>5.13</v>
      </c>
      <c r="H5" s="82">
        <v>100</v>
      </c>
      <c r="I5" s="80">
        <v>19.503646921925771</v>
      </c>
      <c r="J5" s="71"/>
      <c r="K5" s="74"/>
      <c r="L5" s="71"/>
    </row>
    <row r="6" spans="2:12" ht="29" x14ac:dyDescent="0.35">
      <c r="B6" s="84">
        <v>4</v>
      </c>
      <c r="C6" s="79" t="s">
        <v>17</v>
      </c>
      <c r="D6" s="80">
        <v>7</v>
      </c>
      <c r="E6" s="80">
        <v>4</v>
      </c>
      <c r="F6" s="80">
        <v>0.98</v>
      </c>
      <c r="G6" s="80">
        <v>27.44</v>
      </c>
      <c r="H6" s="82">
        <v>62</v>
      </c>
      <c r="I6" s="80">
        <v>2.2594752186588924</v>
      </c>
      <c r="J6" s="71"/>
      <c r="K6" s="74"/>
      <c r="L6" s="71"/>
    </row>
    <row r="7" spans="2:12" x14ac:dyDescent="0.35">
      <c r="B7" s="84">
        <v>5</v>
      </c>
      <c r="C7" s="78" t="s">
        <v>8</v>
      </c>
      <c r="D7" s="80">
        <v>4.99</v>
      </c>
      <c r="E7" s="80">
        <v>1.9766666666666666</v>
      </c>
      <c r="F7" s="80">
        <v>0.44</v>
      </c>
      <c r="G7" s="80">
        <v>4.34</v>
      </c>
      <c r="H7" s="82">
        <v>39</v>
      </c>
      <c r="I7" s="80">
        <v>8.9862386124387363</v>
      </c>
      <c r="J7" s="71"/>
      <c r="K7" s="74"/>
      <c r="L7" s="71"/>
    </row>
    <row r="8" spans="2:12" x14ac:dyDescent="0.35">
      <c r="F8" s="56"/>
      <c r="G8" s="71"/>
      <c r="H8" s="71"/>
      <c r="I8" s="71"/>
      <c r="J8" s="71"/>
      <c r="K8" s="74"/>
      <c r="L8" s="71"/>
    </row>
    <row r="10" spans="2:12" x14ac:dyDescent="0.35">
      <c r="B10" s="84">
        <v>1</v>
      </c>
      <c r="C10" s="183" t="s">
        <v>38</v>
      </c>
      <c r="D10" s="183"/>
      <c r="E10" s="183"/>
      <c r="F10" s="183"/>
      <c r="G10" s="183"/>
      <c r="H10" s="183"/>
      <c r="I10" s="183"/>
      <c r="K10" s="115" t="s">
        <v>37</v>
      </c>
      <c r="L10" s="116" t="str">
        <f>"("&amp;MATCH(C5,B5:I5,0)&amp;","&amp;MATCH(C5,C2:C7,0)&amp;")"</f>
        <v>(2,4)</v>
      </c>
    </row>
    <row r="11" spans="2:12" x14ac:dyDescent="0.35">
      <c r="B11" s="84">
        <v>2</v>
      </c>
      <c r="C11" s="184" t="s">
        <v>39</v>
      </c>
      <c r="D11" s="184"/>
      <c r="E11" s="184"/>
      <c r="F11" s="184"/>
      <c r="G11" s="184"/>
      <c r="H11" s="184"/>
      <c r="I11" s="184"/>
      <c r="K11" s="113" t="s">
        <v>37</v>
      </c>
      <c r="L11" s="114">
        <f>HLOOKUP(D2,B2:I7,3,0)</f>
        <v>10.036666666666667</v>
      </c>
    </row>
    <row r="12" spans="2:12" x14ac:dyDescent="0.35">
      <c r="B12" s="84">
        <v>3</v>
      </c>
      <c r="C12" s="190" t="s">
        <v>43</v>
      </c>
      <c r="D12" s="191"/>
      <c r="E12" s="191"/>
      <c r="F12" s="191"/>
      <c r="G12" s="191"/>
      <c r="H12" s="191"/>
      <c r="I12" s="192"/>
      <c r="K12" s="115" t="s">
        <v>37</v>
      </c>
      <c r="L12" s="117">
        <f>SUM(H3:H7)/SUM(G3:G7)</f>
        <v>7.8615487368875971</v>
      </c>
    </row>
    <row r="13" spans="2:12" x14ac:dyDescent="0.35">
      <c r="B13" s="84">
        <v>4</v>
      </c>
      <c r="C13" s="184" t="s">
        <v>40</v>
      </c>
      <c r="D13" s="184"/>
      <c r="E13" s="184"/>
      <c r="F13" s="184"/>
      <c r="G13" s="184"/>
      <c r="H13" s="184"/>
      <c r="I13" s="184"/>
      <c r="K13" s="113" t="s">
        <v>37</v>
      </c>
      <c r="L13" s="114">
        <f>VLOOKUP(B7,B2:I7,8,0)</f>
        <v>8.9862386124387363</v>
      </c>
    </row>
    <row r="14" spans="2:12" ht="15" thickBot="1" x14ac:dyDescent="0.4">
      <c r="B14" s="112">
        <v>5</v>
      </c>
      <c r="C14" s="185" t="s">
        <v>41</v>
      </c>
      <c r="D14" s="185"/>
      <c r="E14" s="185"/>
      <c r="F14" s="185"/>
      <c r="G14" s="185"/>
      <c r="H14" s="185"/>
      <c r="I14" s="185"/>
      <c r="K14" s="115" t="s">
        <v>37</v>
      </c>
      <c r="L14" s="117">
        <f>LOOKUP(B6,B3:B7,G3:G7)</f>
        <v>27.44</v>
      </c>
    </row>
    <row r="15" spans="2:12" ht="15" thickTop="1" x14ac:dyDescent="0.35">
      <c r="B15" s="186">
        <v>6</v>
      </c>
      <c r="C15" s="188" t="s">
        <v>42</v>
      </c>
      <c r="D15" s="188"/>
      <c r="E15" s="188"/>
      <c r="F15" s="188"/>
      <c r="G15" s="188"/>
      <c r="H15" s="188"/>
      <c r="I15" s="188"/>
      <c r="K15" s="101"/>
      <c r="L15" s="100"/>
    </row>
    <row r="16" spans="2:12" x14ac:dyDescent="0.35">
      <c r="B16" s="187"/>
      <c r="C16" s="189"/>
      <c r="D16" s="189"/>
      <c r="E16" s="189"/>
      <c r="F16" s="189"/>
      <c r="G16" s="189"/>
      <c r="H16" s="189"/>
      <c r="I16" s="189"/>
    </row>
  </sheetData>
  <sheetProtection algorithmName="SHA-512" hashValue="9baVbxh1AWXA3ejtFGgX2dUJJhZkbspX0qhwQTyahur1XZw1vTF2yNVcnP0eOJR9AkXAHriiUQg0WkHXtNiDeg==" saltValue="O/G4JmiQaEqVoUQVe4eLKg==" spinCount="100000" sheet="1" objects="1" scenarios="1"/>
  <mergeCells count="7">
    <mergeCell ref="C10:I10"/>
    <mergeCell ref="C11:I11"/>
    <mergeCell ref="C13:I13"/>
    <mergeCell ref="C14:I14"/>
    <mergeCell ref="B15:B16"/>
    <mergeCell ref="C15:I16"/>
    <mergeCell ref="C12:I12"/>
  </mergeCells>
  <conditionalFormatting sqref="D3:I7">
    <cfRule type="cellIs" dxfId="0" priority="1" operator="lessThan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3A3D1-EAB9-4722-8AF5-267056B1EEA5}">
  <sheetPr codeName="Sheet41"/>
  <dimension ref="C5:D21"/>
  <sheetViews>
    <sheetView zoomScale="88" workbookViewId="0">
      <selection activeCell="R11" sqref="R11"/>
    </sheetView>
  </sheetViews>
  <sheetFormatPr defaultRowHeight="14.5" x14ac:dyDescent="0.35"/>
  <cols>
    <col min="3" max="3" width="10.81640625" customWidth="1"/>
    <col min="4" max="4" width="8.7265625" customWidth="1"/>
  </cols>
  <sheetData>
    <row r="5" spans="3:4" ht="30.5" customHeight="1" x14ac:dyDescent="0.35">
      <c r="C5" s="61" t="s">
        <v>18</v>
      </c>
      <c r="D5" s="62" t="s">
        <v>9</v>
      </c>
    </row>
    <row r="6" spans="3:4" ht="14.5" customHeight="1" x14ac:dyDescent="0.35">
      <c r="C6" s="58" t="s">
        <v>5</v>
      </c>
      <c r="D6" s="59">
        <v>1202</v>
      </c>
    </row>
    <row r="7" spans="3:4" x14ac:dyDescent="0.35">
      <c r="C7" s="58" t="s">
        <v>6</v>
      </c>
      <c r="D7" s="59">
        <v>598</v>
      </c>
    </row>
    <row r="8" spans="3:4" x14ac:dyDescent="0.35">
      <c r="C8" s="58" t="s">
        <v>7</v>
      </c>
      <c r="D8" s="59">
        <v>100</v>
      </c>
    </row>
    <row r="9" spans="3:4" ht="29" x14ac:dyDescent="0.35">
      <c r="C9" s="60" t="s">
        <v>17</v>
      </c>
      <c r="D9" s="59">
        <v>62</v>
      </c>
    </row>
    <row r="10" spans="3:4" x14ac:dyDescent="0.35">
      <c r="C10" s="58" t="s">
        <v>8</v>
      </c>
      <c r="D10" s="59">
        <v>39</v>
      </c>
    </row>
    <row r="11" spans="3:4" x14ac:dyDescent="0.35">
      <c r="C11" s="38"/>
      <c r="D11" s="57"/>
    </row>
    <row r="12" spans="3:4" x14ac:dyDescent="0.35">
      <c r="C12" s="38"/>
      <c r="D12" s="57"/>
    </row>
    <row r="13" spans="3:4" x14ac:dyDescent="0.35">
      <c r="C13" s="38"/>
      <c r="D13" s="57"/>
    </row>
    <row r="14" spans="3:4" x14ac:dyDescent="0.35">
      <c r="C14" s="38"/>
      <c r="D14" s="57"/>
    </row>
    <row r="15" spans="3:4" x14ac:dyDescent="0.35">
      <c r="C15" s="38"/>
      <c r="D15" s="57"/>
    </row>
    <row r="16" spans="3:4" ht="14.5" customHeight="1" x14ac:dyDescent="0.35">
      <c r="C16" s="40"/>
      <c r="D16" s="57"/>
    </row>
    <row r="17" spans="3:4" x14ac:dyDescent="0.35">
      <c r="C17" s="40"/>
      <c r="D17" s="57"/>
    </row>
    <row r="18" spans="3:4" x14ac:dyDescent="0.35">
      <c r="C18" s="40"/>
      <c r="D18" s="57"/>
    </row>
    <row r="19" spans="3:4" x14ac:dyDescent="0.35">
      <c r="C19" s="38"/>
      <c r="D19" s="57"/>
    </row>
    <row r="20" spans="3:4" x14ac:dyDescent="0.35">
      <c r="C20" s="38"/>
      <c r="D20" s="57"/>
    </row>
    <row r="21" spans="3:4" x14ac:dyDescent="0.35">
      <c r="C21" s="38"/>
      <c r="D21" s="57"/>
    </row>
  </sheetData>
  <sheetProtection algorithmName="SHA-512" hashValue="XBj7fI1zCZQeGfmOk0wu2EyfSEjZz/eExPRHXCrhLlOQWF5VtDpadvUBZ5objTDAsqK2zdR+XC5CS48SGzlJEA==" saltValue="6uqhpOhIo+bE6AlYskMYLg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CE66-1A92-4FDB-AB97-4693888C5DE8}">
  <sheetPr codeName="Sheet5"/>
  <dimension ref="B2:E20"/>
  <sheetViews>
    <sheetView zoomScale="90" workbookViewId="0">
      <selection activeCell="F14" sqref="F14"/>
    </sheetView>
  </sheetViews>
  <sheetFormatPr defaultRowHeight="14.5" x14ac:dyDescent="0.35"/>
  <cols>
    <col min="2" max="2" width="10.1796875" customWidth="1"/>
    <col min="3" max="3" width="10.54296875" customWidth="1"/>
  </cols>
  <sheetData>
    <row r="2" spans="2:5" ht="15" customHeight="1" x14ac:dyDescent="0.35">
      <c r="E2" s="63"/>
    </row>
    <row r="4" spans="2:5" ht="26" customHeight="1" x14ac:dyDescent="0.35">
      <c r="B4" s="61" t="s">
        <v>18</v>
      </c>
      <c r="C4" s="64" t="s">
        <v>20</v>
      </c>
    </row>
    <row r="5" spans="2:5" ht="15" customHeight="1" x14ac:dyDescent="0.35">
      <c r="B5" s="58" t="s">
        <v>5</v>
      </c>
      <c r="C5" s="65">
        <v>134.25</v>
      </c>
    </row>
    <row r="6" spans="2:5" x14ac:dyDescent="0.35">
      <c r="B6" s="58" t="s">
        <v>6</v>
      </c>
      <c r="C6" s="51">
        <v>83.37</v>
      </c>
    </row>
    <row r="7" spans="2:5" x14ac:dyDescent="0.35">
      <c r="B7" s="58" t="s">
        <v>7</v>
      </c>
      <c r="C7" s="51">
        <v>5.13</v>
      </c>
    </row>
    <row r="8" spans="2:5" ht="29" x14ac:dyDescent="0.35">
      <c r="B8" s="60" t="s">
        <v>17</v>
      </c>
      <c r="C8" s="51">
        <v>27.44</v>
      </c>
    </row>
    <row r="9" spans="2:5" x14ac:dyDescent="0.35">
      <c r="B9" s="58" t="s">
        <v>8</v>
      </c>
      <c r="C9" s="51">
        <v>4.34</v>
      </c>
    </row>
    <row r="10" spans="2:5" x14ac:dyDescent="0.35">
      <c r="B10" s="38"/>
      <c r="C10" s="39"/>
    </row>
    <row r="11" spans="2:5" x14ac:dyDescent="0.35">
      <c r="B11" s="38"/>
      <c r="C11" s="39"/>
    </row>
    <row r="12" spans="2:5" x14ac:dyDescent="0.35">
      <c r="B12" s="38"/>
      <c r="C12" s="39"/>
    </row>
    <row r="13" spans="2:5" x14ac:dyDescent="0.35">
      <c r="B13" s="38"/>
      <c r="C13" s="39"/>
    </row>
    <row r="14" spans="2:5" x14ac:dyDescent="0.35">
      <c r="B14" s="38"/>
      <c r="C14" s="39"/>
    </row>
    <row r="15" spans="2:5" x14ac:dyDescent="0.35">
      <c r="B15" s="40"/>
      <c r="C15" s="39"/>
    </row>
    <row r="16" spans="2:5" x14ac:dyDescent="0.35">
      <c r="B16" s="40"/>
      <c r="C16" s="39"/>
    </row>
    <row r="17" spans="2:3" x14ac:dyDescent="0.35">
      <c r="B17" s="40"/>
      <c r="C17" s="39"/>
    </row>
    <row r="18" spans="2:3" x14ac:dyDescent="0.35">
      <c r="B18" s="38"/>
      <c r="C18" s="39"/>
    </row>
    <row r="19" spans="2:3" x14ac:dyDescent="0.35">
      <c r="B19" s="38"/>
      <c r="C19" s="39"/>
    </row>
    <row r="20" spans="2:3" x14ac:dyDescent="0.35">
      <c r="B20" s="38"/>
      <c r="C20" s="39"/>
    </row>
  </sheetData>
  <sheetProtection algorithmName="SHA-512" hashValue="uRV7oQ/eZ36geXxfXHpBiCcedaOPmFegak/q3VRB8/9Ypt4QMNIhfCo7h9KUp7/ZNos7IMD2lDDCsqfQ8xeNYA==" saltValue="v57PVPrLXZ7oLGee4wBiYQ==" spinCount="100000" sheet="1" objects="1" scenario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B7C-D66B-4985-8A85-89F88973C2BB}">
  <sheetPr codeName="Sheet6"/>
  <dimension ref="B2:Q21"/>
  <sheetViews>
    <sheetView tabSelected="1" zoomScale="84" workbookViewId="0">
      <selection activeCell="D14" sqref="D14"/>
    </sheetView>
  </sheetViews>
  <sheetFormatPr defaultRowHeight="14.5" x14ac:dyDescent="0.35"/>
  <cols>
    <col min="2" max="2" width="11.08984375" customWidth="1"/>
    <col min="3" max="3" width="9.1796875" customWidth="1"/>
  </cols>
  <sheetData>
    <row r="2" spans="2:3" ht="15" thickBot="1" x14ac:dyDescent="0.4"/>
    <row r="3" spans="2:3" ht="38.5" customHeight="1" thickBot="1" x14ac:dyDescent="0.4">
      <c r="B3" s="66" t="s">
        <v>18</v>
      </c>
      <c r="C3" s="67" t="s">
        <v>16</v>
      </c>
    </row>
    <row r="4" spans="2:3" ht="16.5" customHeight="1" x14ac:dyDescent="0.35">
      <c r="B4" s="68" t="s">
        <v>5</v>
      </c>
      <c r="C4" s="69">
        <v>8.9534960628677052</v>
      </c>
    </row>
    <row r="5" spans="2:3" x14ac:dyDescent="0.35">
      <c r="B5" s="58" t="s">
        <v>6</v>
      </c>
      <c r="C5" s="70">
        <v>7.1731974413239374</v>
      </c>
    </row>
    <row r="6" spans="2:3" x14ac:dyDescent="0.35">
      <c r="B6" s="58" t="s">
        <v>7</v>
      </c>
      <c r="C6" s="70">
        <v>19.503646921925771</v>
      </c>
    </row>
    <row r="7" spans="2:3" ht="29" x14ac:dyDescent="0.35">
      <c r="B7" s="60" t="s">
        <v>17</v>
      </c>
      <c r="C7" s="70">
        <v>2.2594752186588924</v>
      </c>
    </row>
    <row r="8" spans="2:3" x14ac:dyDescent="0.35">
      <c r="B8" s="58" t="s">
        <v>8</v>
      </c>
      <c r="C8" s="70">
        <v>8.9862386124387363</v>
      </c>
    </row>
    <row r="9" spans="2:3" x14ac:dyDescent="0.35">
      <c r="B9" s="38"/>
      <c r="C9" s="39"/>
    </row>
    <row r="10" spans="2:3" x14ac:dyDescent="0.35">
      <c r="B10" s="38"/>
      <c r="C10" s="39"/>
    </row>
    <row r="11" spans="2:3" x14ac:dyDescent="0.35">
      <c r="B11" s="38"/>
      <c r="C11" s="39"/>
    </row>
    <row r="12" spans="2:3" x14ac:dyDescent="0.35">
      <c r="B12" s="38"/>
      <c r="C12" s="39"/>
    </row>
    <row r="13" spans="2:3" x14ac:dyDescent="0.35">
      <c r="B13" s="38"/>
      <c r="C13" s="39"/>
    </row>
    <row r="14" spans="2:3" ht="14.5" customHeight="1" x14ac:dyDescent="0.35">
      <c r="B14" s="40"/>
      <c r="C14" s="39"/>
    </row>
    <row r="15" spans="2:3" x14ac:dyDescent="0.35">
      <c r="B15" s="40"/>
      <c r="C15" s="39"/>
    </row>
    <row r="16" spans="2:3" x14ac:dyDescent="0.35">
      <c r="B16" s="40"/>
      <c r="C16" s="39"/>
    </row>
    <row r="17" spans="2:17" x14ac:dyDescent="0.35">
      <c r="B17" s="38"/>
      <c r="C17" s="39"/>
    </row>
    <row r="18" spans="2:17" x14ac:dyDescent="0.35">
      <c r="B18" s="38"/>
      <c r="C18" s="39"/>
    </row>
    <row r="19" spans="2:17" x14ac:dyDescent="0.35">
      <c r="B19" s="38"/>
      <c r="C19" s="39"/>
    </row>
    <row r="21" spans="2:17" ht="21" x14ac:dyDescent="0.35">
      <c r="Q21" s="63"/>
    </row>
  </sheetData>
  <sheetProtection algorithmName="SHA-512" hashValue="tPjSr6de489H+Z3vvA5vchYQ2XmymZWvrpDCcS5n4Nw0bXYCh3T6hT8IDvWpL07XPdbQ+MNwHopIX1jbXa3ivQ==" saltValue="mz6oMKLun/TqMnnuOsx/J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Measurements</vt:lpstr>
      <vt:lpstr>Questions</vt:lpstr>
      <vt:lpstr>Q1 DropDown</vt:lpstr>
      <vt:lpstr>Q2 Dimensions</vt:lpstr>
      <vt:lpstr>Q3 Pie chart</vt:lpstr>
      <vt:lpstr>Q4 SQ</vt:lpstr>
      <vt:lpstr>Q5 Mass</vt:lpstr>
      <vt:lpstr>Q6 Volume</vt:lpstr>
      <vt:lpstr>Q7 Density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Jalal Uddin Rumi</dc:creator>
  <cp:lastModifiedBy>JALAL UDDIN RUMI</cp:lastModifiedBy>
  <dcterms:created xsi:type="dcterms:W3CDTF">2015-06-05T18:17:20Z</dcterms:created>
  <dcterms:modified xsi:type="dcterms:W3CDTF">2025-02-17T02:19:58Z</dcterms:modified>
  <cp:contentStatus/>
</cp:coreProperties>
</file>